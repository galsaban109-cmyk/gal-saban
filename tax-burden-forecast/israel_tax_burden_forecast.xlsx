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בוא ומתודולוגיה" sheetId="1" state="visible" r:id="rId1"/>
    <sheet xmlns:r="http://schemas.openxmlformats.org/officeDocument/2006/relationships" name="בסיס 2022" sheetId="2" state="visible" r:id="rId2"/>
    <sheet xmlns:r="http://schemas.openxmlformats.org/officeDocument/2006/relationships" name="תחזית הרכב אוכלוסייה" sheetId="3" state="visible" r:id="rId3"/>
    <sheet xmlns:r="http://schemas.openxmlformats.org/officeDocument/2006/relationships" name="פירוט תרחיש ריאלי 2065" sheetId="4" state="visible" r:id="rId4"/>
    <sheet xmlns:r="http://schemas.openxmlformats.org/officeDocument/2006/relationships" name="השוואת תרחישים" sheetId="5" state="visible" r:id="rId5"/>
    <sheet xmlns:r="http://schemas.openxmlformats.org/officeDocument/2006/relationships" name="גרפים" sheetId="6" state="visible" r:id="rId6"/>
  </sheets>
  <definedNames/>
  <calcPr calcId="124519" fullCalcOnLoad="1"/>
</workbook>
</file>

<file path=xl/styles.xml><?xml version="1.0" encoding="utf-8"?>
<styleSheet xmlns="http://schemas.openxmlformats.org/spreadsheetml/2006/main">
  <numFmts count="4">
    <numFmt numFmtId="164" formatCode="#,##0.0 &quot;₪&quot;"/>
    <numFmt numFmtId="165" formatCode="#,##0 &quot;₪&quot;"/>
    <numFmt numFmtId="166" formatCode="0.0%"/>
    <numFmt numFmtId="167" formatCode="0.000"/>
  </numFmts>
  <fonts count="8">
    <font>
      <name val="Calibri"/>
      <family val="2"/>
      <color theme="1"/>
      <sz val="11"/>
      <scheme val="minor"/>
    </font>
    <font>
      <name val="Arial"/>
      <b val="1"/>
      <color rgb="001F1F1F"/>
      <sz val="14"/>
    </font>
    <font>
      <name val="Arial"/>
      <i val="1"/>
      <color rgb="00555555"/>
      <sz val="11"/>
    </font>
    <font>
      <name val="Arial"/>
      <b val="1"/>
      <color rgb="00000000"/>
    </font>
    <font>
      <name val="Arial"/>
      <color rgb="00000000"/>
    </font>
    <font>
      <name val="Arial"/>
      <b val="1"/>
      <color rgb="00FFFFFF"/>
    </font>
    <font>
      <name val="Arial"/>
      <color rgb="000000FF"/>
    </font>
    <font>
      <name val="Arial"/>
      <i val="1"/>
      <color rgb="00777777"/>
      <sz val="9"/>
    </font>
  </fonts>
  <fills count="4">
    <fill>
      <patternFill/>
    </fill>
    <fill>
      <patternFill patternType="gray125"/>
    </fill>
    <fill>
      <patternFill patternType="solid">
        <fgColor rgb="001E2761"/>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right" vertical="top" wrapText="1"/>
    </xf>
    <xf numFmtId="0" fontId="4" fillId="0" borderId="0" applyAlignment="1" pivotButton="0" quotePrefix="0" xfId="0">
      <alignment horizontal="right" vertical="top" wrapText="1"/>
    </xf>
    <xf numFmtId="0" fontId="3" fillId="0" borderId="0" pivotButton="0" quotePrefix="0" xfId="0"/>
    <xf numFmtId="0" fontId="5" fillId="2" borderId="1" applyAlignment="1" pivotButton="0" quotePrefix="0" xfId="0">
      <alignment horizontal="center" vertical="center" wrapText="1"/>
    </xf>
    <xf numFmtId="0" fontId="3" fillId="0" borderId="1" pivotButton="0" quotePrefix="0" xfId="0"/>
    <xf numFmtId="3" fontId="6" fillId="0" borderId="1" pivotButton="0" quotePrefix="0" xfId="0"/>
    <xf numFmtId="3" fontId="3" fillId="0" borderId="1" pivotButton="0" quotePrefix="0" xfId="0"/>
    <xf numFmtId="164" fontId="6" fillId="0" borderId="1" pivotButton="0" quotePrefix="0" xfId="0"/>
    <xf numFmtId="165" fontId="0" fillId="0" borderId="1" pivotButton="0" quotePrefix="0" xfId="0"/>
    <xf numFmtId="165" fontId="3" fillId="0" borderId="1" pivotButton="0" quotePrefix="0" xfId="0"/>
    <xf numFmtId="166" fontId="0" fillId="0" borderId="1" pivotButton="0" quotePrefix="0" xfId="0"/>
    <xf numFmtId="0" fontId="7" fillId="0" borderId="0" applyAlignment="1" pivotButton="0" quotePrefix="0" xfId="0">
      <alignment horizontal="right" wrapText="1"/>
    </xf>
    <xf numFmtId="164" fontId="0" fillId="0" borderId="1" pivotButton="0" quotePrefix="0" xfId="0"/>
    <xf numFmtId="0" fontId="3" fillId="0" borderId="0" applyAlignment="1" pivotButton="0" quotePrefix="0" xfId="0">
      <alignment horizontal="right" wrapText="1"/>
    </xf>
    <xf numFmtId="164" fontId="3" fillId="0" borderId="1" pivotButton="0" quotePrefix="0" xfId="0"/>
    <xf numFmtId="1" fontId="3" fillId="0" borderId="1" pivotButton="0" quotePrefix="0" xfId="0"/>
    <xf numFmtId="166" fontId="6" fillId="0" borderId="1" pivotButton="0" quotePrefix="0" xfId="0"/>
    <xf numFmtId="0" fontId="0" fillId="0" borderId="1" pivotButton="0" quotePrefix="0" xfId="0"/>
    <xf numFmtId="10" fontId="6" fillId="0" borderId="1" pivotButton="0" quotePrefix="0" xfId="0"/>
    <xf numFmtId="1" fontId="6" fillId="0" borderId="1" pivotButton="0" quotePrefix="0" xfId="0"/>
    <xf numFmtId="167" fontId="0" fillId="0" borderId="1" pivotButton="0" quotePrefix="0" xfId="0"/>
    <xf numFmtId="3" fontId="0" fillId="0" borderId="1" pivotButton="0" quotePrefix="0" xfId="0"/>
    <xf numFmtId="0" fontId="3" fillId="3" borderId="0" pivotButton="0" quotePrefix="0" xfId="0"/>
    <xf numFmtId="0" fontId="7" fillId="0" borderId="0" pivotButton="0" quotePrefix="0" xfId="0"/>
    <xf numFmtId="0" fontId="4" fillId="0" borderId="1" pivotButton="0" quotePrefix="0" xfId="0"/>
    <xf numFmtId="0" fontId="7" fillId="0" borderId="1" pivotButton="0" quotePrefix="0" xfId="0"/>
    <xf numFmtId="0" fontId="3" fillId="0" borderId="1" applyAlignment="1" pivotButton="0" quotePrefix="0" xfId="0">
      <alignment horizontal="right" wrapText="1"/>
    </xf>
    <xf numFmtId="1" fontId="0" fillId="0" borderId="1" pivotButton="0" quotePrefix="0" xfId="0"/>
    <xf numFmtId="166" fontId="3" fillId="0" borderId="1" pivotButton="0" quotePrefix="0" xfId="0"/>
    <xf numFmtId="166"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הרכב האוכלוסייה לאורך זמן — תרחיש ריאלי</a:t>
            </a:r>
          </a:p>
        </rich>
      </tx>
    </title>
    <plotArea>
      <lineChart>
        <grouping val="standard"/>
        <ser>
          <idx val="0"/>
          <order val="0"/>
          <tx>
            <strRef>
              <f>'גרפים'!B4</f>
            </strRef>
          </tx>
          <spPr>
            <a:ln xmlns:a="http://schemas.openxmlformats.org/drawingml/2006/main">
              <a:prstDash val="solid"/>
            </a:ln>
          </spPr>
          <marker>
            <symbol val="none"/>
            <spPr>
              <a:ln xmlns:a="http://schemas.openxmlformats.org/drawingml/2006/main">
                <a:prstDash val="solid"/>
              </a:ln>
            </spPr>
          </marker>
          <cat>
            <numRef>
              <f>'גרפים'!$A$5:$A$10</f>
            </numRef>
          </cat>
          <val>
            <numRef>
              <f>'גרפים'!$B$5:$B$10</f>
            </numRef>
          </val>
          <smooth val="0"/>
        </ser>
        <ser>
          <idx val="1"/>
          <order val="1"/>
          <tx>
            <strRef>
              <f>'גרפים'!C4</f>
            </strRef>
          </tx>
          <spPr>
            <a:ln xmlns:a="http://schemas.openxmlformats.org/drawingml/2006/main">
              <a:prstDash val="solid"/>
            </a:ln>
          </spPr>
          <marker>
            <symbol val="none"/>
            <spPr>
              <a:ln xmlns:a="http://schemas.openxmlformats.org/drawingml/2006/main">
                <a:prstDash val="solid"/>
              </a:ln>
            </spPr>
          </marker>
          <cat>
            <numRef>
              <f>'גרפים'!$A$5:$A$10</f>
            </numRef>
          </cat>
          <val>
            <numRef>
              <f>'גרפים'!$C$5:$C$10</f>
            </numRef>
          </val>
          <smooth val="0"/>
        </ser>
        <ser>
          <idx val="2"/>
          <order val="2"/>
          <tx>
            <strRef>
              <f>'גרפים'!D4</f>
            </strRef>
          </tx>
          <spPr>
            <a:ln xmlns:a="http://schemas.openxmlformats.org/drawingml/2006/main">
              <a:prstDash val="solid"/>
            </a:ln>
          </spPr>
          <marker>
            <symbol val="none"/>
            <spPr>
              <a:ln xmlns:a="http://schemas.openxmlformats.org/drawingml/2006/main">
                <a:prstDash val="solid"/>
              </a:ln>
            </spPr>
          </marker>
          <cat>
            <numRef>
              <f>'גרפים'!$A$5:$A$10</f>
            </numRef>
          </cat>
          <val>
            <numRef>
              <f>'גרפים'!$D$5:$D$10</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שנה</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שיעור מהאוכלוסייה</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הכנסת המדינה ממס הכנסה לפי חמישון: 2022 מול 2065 (תרחיש ריאלי)</a:t>
            </a:r>
          </a:p>
        </rich>
      </tx>
    </title>
    <plotArea>
      <barChart>
        <barDir val="col"/>
        <grouping val="clustered"/>
        <ser>
          <idx val="0"/>
          <order val="0"/>
          <tx>
            <strRef>
              <f>'גרפים'!A15</f>
            </strRef>
          </tx>
          <spPr>
            <a:ln xmlns:a="http://schemas.openxmlformats.org/drawingml/2006/main">
              <a:prstDash val="solid"/>
            </a:ln>
          </spPr>
          <cat>
            <numRef>
              <f>'גרפים'!$B$14:$F$14</f>
            </numRef>
          </cat>
          <val>
            <numRef>
              <f>'גרפים'!$B$15:$F$15</f>
            </numRef>
          </val>
        </ser>
        <ser>
          <idx val="1"/>
          <order val="1"/>
          <tx>
            <strRef>
              <f>'גרפים'!A16</f>
            </strRef>
          </tx>
          <spPr>
            <a:ln xmlns:a="http://schemas.openxmlformats.org/drawingml/2006/main">
              <a:prstDash val="solid"/>
            </a:ln>
          </spPr>
          <cat>
            <numRef>
              <f>'גרפים'!$B$14:$F$14</f>
            </numRef>
          </cat>
          <val>
            <numRef>
              <f>'גרפים'!$B$16:$F$16</f>
            </numRef>
          </val>
        </ser>
        <ser>
          <idx val="2"/>
          <order val="2"/>
          <tx>
            <strRef>
              <f>'גרפים'!A17</f>
            </strRef>
          </tx>
          <spPr>
            <a:ln xmlns:a="http://schemas.openxmlformats.org/drawingml/2006/main">
              <a:prstDash val="solid"/>
            </a:ln>
          </spPr>
          <cat>
            <numRef>
              <f>'גרפים'!$B$14:$F$14</f>
            </numRef>
          </cat>
          <val>
            <numRef>
              <f>'גרפים'!$B$17:$F$17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חמישון הכנסה</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לחודש</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2</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19</row>
      <rowOff>0</rowOff>
    </from>
    <ext cx="720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9"/>
  <sheetViews>
    <sheetView rightToLeft="1" workbookViewId="0">
      <selection activeCell="A1" sqref="A1"/>
    </sheetView>
  </sheetViews>
  <sheetFormatPr baseColWidth="8" defaultRowHeight="15"/>
  <cols>
    <col width="110" customWidth="1" min="1" max="1"/>
  </cols>
  <sheetData>
    <row r="1">
      <c r="A1" s="1" t="inlineStr">
        <is>
          <t>תחזית נטל המס לפי חמישוני הכנסה, לאור השינוי הצפוי בהרכב האוכלוסייה</t>
        </is>
      </c>
    </row>
    <row r="2">
      <c r="A2" s="2" t="inlineStr">
        <is>
          <t>מודל: כמה יורדת הכנסת המדינה ממס הכנסה אם הרכב האוכלוסייה משתנה כצפוי — וכמה צריך להעלות את הנטל כדי לשמור על אותה הכנסה</t>
        </is>
      </c>
    </row>
    <row r="4" ht="18" customHeight="1">
      <c r="A4" s="3" t="inlineStr">
        <is>
          <t>שאלת המחקר</t>
        </is>
      </c>
    </row>
    <row r="5" ht="34" customHeight="1">
      <c r="A5" s="4" t="inlineStr">
        <is>
          <t>היום נטל מס ההכנסה בישראל מוטל בעיקר על החמישון העליון. האוכלוסייה החרדית מרוכזת בחמישוני ההכנסה התחתונים ומשלמת מס הכנסה נמוך יחסית; היהודים הלא-חרדים, המרוכזים יחסית בחמישונים העליונים, נושאים בעיקר הנטל. לפי תחזיות האוכלוסייה, חלקם היחסי של החרדים באוכלוסייה צפוי לגדול משמעותית וחלקם של היהודים הלא-חרדים לרדת. המודל בודק: אם 'מקפיאים' את פרופיל ההכנסה/מס של כל קבוצה כפי שהוא היום (2022), ורק 'מתקדמים' עם האוכלוסייה לפי התחזית הדמוגרפית - כמה תרד הכנסת המדינה ממס הכנסה, וכמה צריך להעלות את הנטל (בעיקר על החמישונים העליונים) כדי לגייס את אותה הכנסה כמו היום.</t>
        </is>
      </c>
    </row>
    <row r="6" ht="18" customHeight="1">
      <c r="A6" s="4" t="inlineStr"/>
    </row>
    <row r="7" ht="18" customHeight="1">
      <c r="A7" s="3" t="inlineStr">
        <is>
          <t>הנחות המפתח של המודל</t>
        </is>
      </c>
    </row>
    <row r="8" ht="34" customHeight="1">
      <c r="A8" s="4" t="inlineStr">
        <is>
          <t>1. ההתפלגות הפנימית של כל קבוצת אוכלוסייה (יהודים לא-חרדים / חרדים / ערבים) על פני 5 חמישוני ההכנסה הכלליים (הארציים) נשארת קבועה כפי שנמדדה ב-2022. כלומר, לא מניחים ששיעור החרדים בחמישון התחתון ישתנה — רק שמספר משקי הבית החרדים בכללותו גדל.</t>
        </is>
      </c>
    </row>
    <row r="9" ht="34" customHeight="1">
      <c r="A9" s="4" t="inlineStr">
        <is>
          <t>2. תשלום המס הממוצע למשק בית בכל תא (קבוצה × חמישון) נשאר קבוע בערכי 2022 (ריאלית, ללא אינפלציה/שינויי מדיניות).</t>
        </is>
      </c>
    </row>
    <row r="10" ht="34" customHeight="1">
      <c r="A10" s="4" t="inlineStr">
        <is>
          <t>3. סך משקי הבית גדל עם הזמן לפי קצב הגידול הדמוגרפי של הלמ"ס (ולא נשאר קבוע) — וגם התמהיל בין הקבוצות משתנה, שני האפקטים ביחד. קצב גידול משקי הבית מקורב לקצב גידול האוכלוסייה הכללי (ראו הסתייגות בגיליון 'תחזית הרכב אוכלוסייה').</t>
        </is>
      </c>
    </row>
    <row r="11" ht="34" customHeight="1">
      <c r="A11" s="4" t="inlineStr">
        <is>
          <t>4. הבסיס לחישוב הוא מס הכנסה ורווחי הון בלבד (התואם את צילומי המסך שסופקו ואת הטענה המקורית על 80% מהנטל) — לא כלל תשלומי המסים (מע"מ, ביטוח לאומי, מיסי נדל"ן וכו').</t>
        </is>
      </c>
    </row>
    <row r="12" ht="18" customHeight="1">
      <c r="A12" s="4" t="inlineStr"/>
    </row>
    <row r="13" ht="18" customHeight="1">
      <c r="A13" s="3" t="inlineStr">
        <is>
          <t>חשוב: איך מודדים 'ירידה בהכנסה' על פני 43 שנה של צמיחה דמוגרפית</t>
        </is>
      </c>
    </row>
    <row r="14" ht="34" customHeight="1">
      <c r="A14" s="4" t="inlineStr">
        <is>
          <t>כי האוכלוסייה עצמה גדלה (לא רק משנה תמהיל), ההכנסה הכוללת בערכים נומינליים דווקא *עולה* עם השנים — יש יותר משקי בית ששולמים מס, גם אם כל אחד מהם משלם בממוצע פחות. השוואה נאיבית מול סך ההכנסה הנומינלית של 2022 בלבד מטעה: היא מראה שאין צורך להעלות מיסים כלל, כי הצמיחה הדמוגרפית 'מכסה' על שינוי התמהיל.</t>
        </is>
      </c>
    </row>
    <row r="15" ht="34" customHeight="1">
      <c r="A15" s="4" t="inlineStr">
        <is>
          <t>לכן ההשוואה המרכזית בקובץ הזה (בגיליונות 'פירוט תרחיש ריאלי 2065' ו'השוואת תרחישים') היא בין הנטל הממוצע למשק בית (לא הסכום הכולל): כמה בממוצע ישלם משק בית ב-2065 לעומת כמה שילם משק בית ממוצע ב-2022. זהו מדד שמנוטרל לחלוטין מגידול האוכלוסייה, ומבודד את האפקט הטהור של שינוי התמהיל בין הקבוצות — בדיוק השאלה שביקשת לבדוק. הפער הזה (בניגוד להשוואה הנומינלית) שלילי ועקבי לאורך זמן, וממנו נגזר כמה צריך להעלות את הנטל על החמישונים העליונים כדי לשמור על אותו נטל מס ממוצע למשק בית כמו היום. ההשוואה הנומינלית עדיין מוצגת בקובץ, לשם הקשר בלבד, אך אינה הבסיס לחישובי ה'העלאה הנדרשת'.</t>
        </is>
      </c>
    </row>
    <row r="16" ht="18" customHeight="1">
      <c r="A16" s="4" t="inlineStr"/>
    </row>
    <row r="17" ht="18" customHeight="1">
      <c r="A17" s="3" t="inlineStr">
        <is>
          <t>מקורות הנתונים</t>
        </is>
      </c>
    </row>
    <row r="18" ht="34" customHeight="1">
      <c r="A18" s="4" t="inlineStr">
        <is>
          <t>• נתוני בסיס 2022 (מספר משקי בית, תשלום מס הכנסה+רווחי הון ממוצע לפי קבוצה וחמישון): מצגת 'מאזן פיסקלי מלא' ששותפה (שקפים 74-75), מבוססת על סקר הוצאות והכנסות משקי הבית של הלמ"ס 2022, בשילוב צילומי המסך המדויקים שסופקו (Power BI).</t>
        </is>
      </c>
    </row>
    <row r="19" ht="34" customHeight="1">
      <c r="A19" s="4" t="inlineStr">
        <is>
          <t>• תחזית הרכב האוכלוסייה (חלק יחסי של כל קבוצה, 3 תרחישים, 2022-2065): אותה מצגת (שקף 8), מבוסס על תחזית הלמ"ס. שימו לב: תווית השנה '2054' שהופיעה במצגת המקורית עבור תרחישים גבוה ונמוך תוקנה כאן ל-2045, בהתאם לעקביות הפנימית מול תרחיש הביניים ולמרווחי 10 השנים האחידים בין שאר נקודות הזמן.</t>
        </is>
      </c>
    </row>
    <row r="20" ht="34" customHeight="1">
      <c r="A20" s="4" t="inlineStr">
        <is>
          <t>• קצבי גידול האוכלוסייה הכוללת לפי תרחיש (המשמשים כאן להערכת גידול מספר משקי הבית): מבוססים על תחזית הלמ"ס הרשמית 'תחזית אוכלוסיית ישראל 2015-2065' (פראן וקלינגר, 2018), כפי שדווחו במקורות משניים. לא אותרה גישה ישירה לטבלת המקור המדויקת בסביבת העבודה הנוכחית (חסימת רשת ל-cbs.gov.il) — לכן מדובר בקירוב מתועד, הניתן להחלפה בקלות בגיליון 'תחזית הרכב אוכלוסייה' אם יש בידיכם את הטבלה הרשמית המלאה.</t>
        </is>
      </c>
    </row>
    <row r="21" ht="18" customHeight="1">
      <c r="A21" s="4" t="inlineStr"/>
    </row>
    <row r="22" ht="18" customHeight="1">
      <c r="A22" s="3" t="inlineStr">
        <is>
          <t>איך קוראים את הקובץ</t>
        </is>
      </c>
    </row>
    <row r="23" ht="34" customHeight="1">
      <c r="A23" s="4" t="inlineStr">
        <is>
          <t>גיליון 'בסיס 2022' — נתוני המוצא: משקי בית, מס ממוצע, הכנסת מדינה, והתפלגות הנטל בין החמישונים היום.</t>
        </is>
      </c>
    </row>
    <row r="24" ht="34" customHeight="1">
      <c r="A24" s="4" t="inlineStr">
        <is>
          <t>גיליון 'תחזית הרכב אוכלוסייה' — שיעור כל קבוצה באוכלוסייה לאורך זמן, וקצב גידול משקי הבית לפי תרחיש.</t>
        </is>
      </c>
    </row>
    <row r="25" ht="34" customHeight="1">
      <c r="A25" s="4" t="inlineStr">
        <is>
          <t>גיליון 'פירוט תרחיש ריאלי 2065' — הפירוט המלא של התרגיל לתרחיש הביניים בשנת האופק הרחוקה (2065): כמה תרד ההכנסה, וכמה צריך להעלות את הנטל בשלוש דרכים חלופיות.</t>
        </is>
      </c>
    </row>
    <row r="26" ht="34" customHeight="1">
      <c r="A26" s="4" t="inlineStr">
        <is>
          <t>גיליון 'השוואת תרחישים' — אותם חישובים, לכל שלושת התרחישים ולכל נקודות הזמן (2025/2035/2045/2055/2065), בטבלה אחת.</t>
        </is>
      </c>
    </row>
    <row r="27" ht="34" customHeight="1">
      <c r="A27" s="4" t="inlineStr">
        <is>
          <t>גיליון 'גרפים' — המחשה חזותית.</t>
        </is>
      </c>
    </row>
    <row r="28" ht="18" customHeight="1">
      <c r="A28" s="4" t="inlineStr"/>
    </row>
    <row r="29" ht="18" customHeight="1">
      <c r="A29" s="3" t="inlineStr">
        <is>
          <t>תאי קלט (מספרים כחולים) ניתנים לעריכה — כל שאר התאים הם נוסחאות שמתעדכנות אוטומטית.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rightToLeft="1"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5" customWidth="1" min="7" max="7"/>
  </cols>
  <sheetData>
    <row r="1">
      <c r="A1" s="1" t="inlineStr">
        <is>
          <t>נתוני בסיס 2022 — מס הכנסה ורווחי הון, לפי קבוצת אוכלוסייה וחמישון הכנסה כללי</t>
        </is>
      </c>
    </row>
    <row r="2">
      <c r="A2" s="2" t="inlineStr">
        <is>
          <t>מקור: מצגת 'מאזן פיסקלי מלא' (שקפים 74-75) + צילומי המסך שסופקו</t>
        </is>
      </c>
    </row>
    <row r="4">
      <c r="A4" s="5" t="inlineStr">
        <is>
          <t>מספר משקי בית (אלפים), 2022</t>
        </is>
      </c>
    </row>
    <row r="5">
      <c r="A5" s="6" t="inlineStr">
        <is>
          <t>קבוצת אוכלוסייה</t>
        </is>
      </c>
      <c r="B5" s="6" t="inlineStr">
        <is>
          <t>חמישון 1</t>
        </is>
      </c>
      <c r="C5" s="6" t="inlineStr">
        <is>
          <t>חמישון 2</t>
        </is>
      </c>
      <c r="D5" s="6" t="inlineStr">
        <is>
          <t>חמישון 3</t>
        </is>
      </c>
      <c r="E5" s="6" t="inlineStr">
        <is>
          <t>חמישון 4</t>
        </is>
      </c>
      <c r="F5" s="6" t="inlineStr">
        <is>
          <t>חמישון 5</t>
        </is>
      </c>
      <c r="G5" s="6" t="inlineStr">
        <is>
          <t>סה"כ</t>
        </is>
      </c>
    </row>
    <row r="6">
      <c r="A6" s="7" t="inlineStr">
        <is>
          <t>יהודים לא חרדים</t>
        </is>
      </c>
      <c r="B6" s="8" t="n">
        <v>248</v>
      </c>
      <c r="C6" s="8" t="n">
        <v>365</v>
      </c>
      <c r="D6" s="8" t="n">
        <v>461</v>
      </c>
      <c r="E6" s="8" t="n">
        <v>523</v>
      </c>
      <c r="F6" s="8" t="n">
        <v>555</v>
      </c>
      <c r="G6" s="9">
        <f>SUM(B6:F6)</f>
        <v/>
      </c>
    </row>
    <row r="7">
      <c r="A7" s="7" t="inlineStr">
        <is>
          <t>חרדים</t>
        </is>
      </c>
      <c r="B7" s="8" t="n">
        <v>98</v>
      </c>
      <c r="C7" s="8" t="n">
        <v>58</v>
      </c>
      <c r="D7" s="8" t="n">
        <v>27</v>
      </c>
      <c r="E7" s="8" t="n">
        <v>18</v>
      </c>
      <c r="F7" s="8" t="n">
        <v>8</v>
      </c>
      <c r="G7" s="9">
        <f>SUM(B7:F7)</f>
        <v/>
      </c>
    </row>
    <row r="8">
      <c r="A8" s="7" t="inlineStr">
        <is>
          <t>ערבים</t>
        </is>
      </c>
      <c r="B8" s="8" t="n">
        <v>216</v>
      </c>
      <c r="C8" s="8" t="n">
        <v>126</v>
      </c>
      <c r="D8" s="8" t="n">
        <v>71</v>
      </c>
      <c r="E8" s="8" t="n">
        <v>30</v>
      </c>
      <c r="F8" s="8" t="n">
        <v>10</v>
      </c>
      <c r="G8" s="9">
        <f>SUM(B8:F8)</f>
        <v/>
      </c>
    </row>
    <row r="9">
      <c r="A9" s="7" t="inlineStr">
        <is>
          <t>סה"כ</t>
        </is>
      </c>
      <c r="B9" s="9">
        <f>SUM(B6:B8)</f>
        <v/>
      </c>
      <c r="C9" s="9">
        <f>SUM(C6:C8)</f>
        <v/>
      </c>
      <c r="D9" s="9">
        <f>SUM(D6:D8)</f>
        <v/>
      </c>
      <c r="E9" s="9">
        <f>SUM(E6:E8)</f>
        <v/>
      </c>
      <c r="F9" s="9">
        <f>SUM(F6:F8)</f>
        <v/>
      </c>
      <c r="G9" s="9">
        <f>SUM(G6:G8)</f>
        <v/>
      </c>
    </row>
    <row r="11">
      <c r="A11" s="5" t="inlineStr">
        <is>
          <t>תשלום מס הכנסה+רווחי הון חודשי ממוצע למשק בית (₪), 2022</t>
        </is>
      </c>
    </row>
    <row r="12">
      <c r="A12" s="6" t="inlineStr">
        <is>
          <t>קבוצת אוכלוסייה</t>
        </is>
      </c>
      <c r="B12" s="6" t="inlineStr">
        <is>
          <t>חמישון 1</t>
        </is>
      </c>
      <c r="C12" s="6" t="inlineStr">
        <is>
          <t>חמישון 2</t>
        </is>
      </c>
      <c r="D12" s="6" t="inlineStr">
        <is>
          <t>חמישון 3</t>
        </is>
      </c>
      <c r="E12" s="6" t="inlineStr">
        <is>
          <t>חמישון 4</t>
        </is>
      </c>
      <c r="F12" s="6" t="inlineStr">
        <is>
          <t>חמישון 5</t>
        </is>
      </c>
    </row>
    <row r="13">
      <c r="A13" s="7" t="inlineStr">
        <is>
          <t>יהודים לא חרדים</t>
        </is>
      </c>
      <c r="B13" s="10" t="n">
        <v>78.70999999999999</v>
      </c>
      <c r="C13" s="10" t="n">
        <v>483.76</v>
      </c>
      <c r="D13" s="10" t="n">
        <v>1493.29</v>
      </c>
      <c r="E13" s="10" t="n">
        <v>3632.97</v>
      </c>
      <c r="F13" s="10" t="n">
        <v>12383.56</v>
      </c>
    </row>
    <row r="14">
      <c r="A14" s="7" t="inlineStr">
        <is>
          <t>חרדים</t>
        </is>
      </c>
      <c r="B14" s="10" t="n">
        <v>42.3</v>
      </c>
      <c r="C14" s="10" t="n">
        <v>642.6799999999999</v>
      </c>
      <c r="D14" s="10" t="n">
        <v>1924.58</v>
      </c>
      <c r="E14" s="10" t="n">
        <v>4350.3</v>
      </c>
      <c r="F14" s="10" t="n">
        <v>7515.45</v>
      </c>
    </row>
    <row r="15">
      <c r="A15" s="7" t="inlineStr">
        <is>
          <t>ערבים</t>
        </is>
      </c>
      <c r="B15" s="10" t="n">
        <v>162.33</v>
      </c>
      <c r="C15" s="10" t="n">
        <v>590.46</v>
      </c>
      <c r="D15" s="10" t="n">
        <v>2243.59</v>
      </c>
      <c r="E15" s="10" t="n">
        <v>4275.56</v>
      </c>
      <c r="F15" s="10" t="n">
        <v>14438.37</v>
      </c>
    </row>
    <row r="17">
      <c r="A17" s="5" t="inlineStr">
        <is>
          <t>הכנסת מדינה חודשית ממס הכנסה+רווחי הון (₪) = משקי"ב (אלפים) × 1,000 × מס ממוצע</t>
        </is>
      </c>
    </row>
    <row r="18">
      <c r="A18" s="6" t="inlineStr">
        <is>
          <t>קבוצת אוכלוסייה</t>
        </is>
      </c>
      <c r="B18" s="6" t="inlineStr">
        <is>
          <t>חמישון 1</t>
        </is>
      </c>
      <c r="C18" s="6" t="inlineStr">
        <is>
          <t>חמישון 2</t>
        </is>
      </c>
      <c r="D18" s="6" t="inlineStr">
        <is>
          <t>חמישון 3</t>
        </is>
      </c>
      <c r="E18" s="6" t="inlineStr">
        <is>
          <t>חמישון 4</t>
        </is>
      </c>
      <c r="F18" s="6" t="inlineStr">
        <is>
          <t>חמישון 5</t>
        </is>
      </c>
      <c r="G18" s="6" t="inlineStr">
        <is>
          <t>סה"כ</t>
        </is>
      </c>
    </row>
    <row r="19">
      <c r="A19" s="7" t="inlineStr">
        <is>
          <t>יהודים לא חרדים</t>
        </is>
      </c>
      <c r="B19" s="11">
        <f>B6*1000*B13</f>
        <v/>
      </c>
      <c r="C19" s="11">
        <f>C6*1000*C13</f>
        <v/>
      </c>
      <c r="D19" s="11">
        <f>D6*1000*D13</f>
        <v/>
      </c>
      <c r="E19" s="11">
        <f>E6*1000*E13</f>
        <v/>
      </c>
      <c r="F19" s="11">
        <f>F6*1000*F13</f>
        <v/>
      </c>
      <c r="G19" s="12">
        <f>SUM(B19:F19)</f>
        <v/>
      </c>
    </row>
    <row r="20">
      <c r="A20" s="7" t="inlineStr">
        <is>
          <t>חרדים</t>
        </is>
      </c>
      <c r="B20" s="11">
        <f>B7*1000*B14</f>
        <v/>
      </c>
      <c r="C20" s="11">
        <f>C7*1000*C14</f>
        <v/>
      </c>
      <c r="D20" s="11">
        <f>D7*1000*D14</f>
        <v/>
      </c>
      <c r="E20" s="11">
        <f>E7*1000*E14</f>
        <v/>
      </c>
      <c r="F20" s="11">
        <f>F7*1000*F14</f>
        <v/>
      </c>
      <c r="G20" s="12">
        <f>SUM(B20:F20)</f>
        <v/>
      </c>
    </row>
    <row r="21">
      <c r="A21" s="7" t="inlineStr">
        <is>
          <t>ערבים</t>
        </is>
      </c>
      <c r="B21" s="11">
        <f>B8*1000*B15</f>
        <v/>
      </c>
      <c r="C21" s="11">
        <f>C8*1000*C15</f>
        <v/>
      </c>
      <c r="D21" s="11">
        <f>D8*1000*D15</f>
        <v/>
      </c>
      <c r="E21" s="11">
        <f>E8*1000*E15</f>
        <v/>
      </c>
      <c r="F21" s="11">
        <f>F8*1000*F15</f>
        <v/>
      </c>
      <c r="G21" s="12">
        <f>SUM(B21:F21)</f>
        <v/>
      </c>
    </row>
    <row r="22">
      <c r="A22" s="7" t="inlineStr">
        <is>
          <t>סה"כ</t>
        </is>
      </c>
      <c r="B22" s="12">
        <f>SUM(B19:B21)</f>
        <v/>
      </c>
      <c r="C22" s="12">
        <f>SUM(C19:C21)</f>
        <v/>
      </c>
      <c r="D22" s="12">
        <f>SUM(D19:D21)</f>
        <v/>
      </c>
      <c r="E22" s="12">
        <f>SUM(E19:E21)</f>
        <v/>
      </c>
      <c r="F22" s="12">
        <f>SUM(F19:F21)</f>
        <v/>
      </c>
      <c r="G22" s="12">
        <f>SUM(G19:G21)</f>
        <v/>
      </c>
    </row>
    <row r="24">
      <c r="A24" s="5" t="inlineStr">
        <is>
          <t>התפלגות פנימית של כל קבוצה על פני 5 החמישונים הכלליים (קבוע — משמש לתחזית)</t>
        </is>
      </c>
    </row>
    <row r="25">
      <c r="A25" s="6" t="inlineStr">
        <is>
          <t>קבוצת אוכלוסייה</t>
        </is>
      </c>
      <c r="B25" s="6" t="inlineStr">
        <is>
          <t>חמישון 1</t>
        </is>
      </c>
      <c r="C25" s="6" t="inlineStr">
        <is>
          <t>חמישון 2</t>
        </is>
      </c>
      <c r="D25" s="6" t="inlineStr">
        <is>
          <t>חמישון 3</t>
        </is>
      </c>
      <c r="E25" s="6" t="inlineStr">
        <is>
          <t>חמישון 4</t>
        </is>
      </c>
      <c r="F25" s="6" t="inlineStr">
        <is>
          <t>חמישון 5</t>
        </is>
      </c>
    </row>
    <row r="26">
      <c r="A26" s="7" t="inlineStr">
        <is>
          <t>יהודים לא חרדים</t>
        </is>
      </c>
      <c r="B26" s="13">
        <f>B6/$G6</f>
        <v/>
      </c>
      <c r="C26" s="13">
        <f>C6/$G6</f>
        <v/>
      </c>
      <c r="D26" s="13">
        <f>D6/$G6</f>
        <v/>
      </c>
      <c r="E26" s="13">
        <f>E6/$G6</f>
        <v/>
      </c>
      <c r="F26" s="13">
        <f>F6/$G6</f>
        <v/>
      </c>
    </row>
    <row r="27">
      <c r="A27" s="7" t="inlineStr">
        <is>
          <t>חרדים</t>
        </is>
      </c>
      <c r="B27" s="13">
        <f>B7/$G7</f>
        <v/>
      </c>
      <c r="C27" s="13">
        <f>C7/$G7</f>
        <v/>
      </c>
      <c r="D27" s="13">
        <f>D7/$G7</f>
        <v/>
      </c>
      <c r="E27" s="13">
        <f>E7/$G7</f>
        <v/>
      </c>
      <c r="F27" s="13">
        <f>F7/$G7</f>
        <v/>
      </c>
    </row>
    <row r="28">
      <c r="A28" s="7" t="inlineStr">
        <is>
          <t>ערבים</t>
        </is>
      </c>
      <c r="B28" s="13">
        <f>B8/$G8</f>
        <v/>
      </c>
      <c r="C28" s="13">
        <f>C8/$G8</f>
        <v/>
      </c>
      <c r="D28" s="13">
        <f>D8/$G8</f>
        <v/>
      </c>
      <c r="E28" s="13">
        <f>E8/$G8</f>
        <v/>
      </c>
      <c r="F28" s="13">
        <f>F8/$G8</f>
        <v/>
      </c>
    </row>
    <row r="30">
      <c r="A30" s="5" t="inlineStr">
        <is>
          <t>התפלגות נטל מס ההכנסה בין החמישונים, 2022 (הגרסה בפועל, מנתוני 2022, לטענת "80% מהמס")</t>
        </is>
      </c>
    </row>
    <row r="31">
      <c r="A31" s="6" t="inlineStr"/>
      <c r="B31" s="6" t="inlineStr">
        <is>
          <t>חמישון 1</t>
        </is>
      </c>
      <c r="C31" s="6" t="inlineStr">
        <is>
          <t>חמישון 2</t>
        </is>
      </c>
      <c r="D31" s="6" t="inlineStr">
        <is>
          <t>חמישון 3</t>
        </is>
      </c>
      <c r="E31" s="6" t="inlineStr">
        <is>
          <t>חמישון 4</t>
        </is>
      </c>
      <c r="F31" s="6" t="inlineStr">
        <is>
          <t>חמישון 5</t>
        </is>
      </c>
    </row>
    <row r="32">
      <c r="A32" s="7" t="inlineStr">
        <is>
          <t>חלק מהכנסות המדינה ממס הכנסה</t>
        </is>
      </c>
      <c r="B32" s="13">
        <f>B22/$G$22</f>
        <v/>
      </c>
      <c r="C32" s="13">
        <f>C22/$G$22</f>
        <v/>
      </c>
      <c r="D32" s="13">
        <f>D22/$G$22</f>
        <v/>
      </c>
      <c r="E32" s="13">
        <f>E22/$G$22</f>
        <v/>
      </c>
      <c r="F32" s="13">
        <f>F22/$G$22</f>
        <v/>
      </c>
    </row>
    <row r="34" ht="40" customHeight="1">
      <c r="A34" s="14" t="inlineStr">
        <is>
          <t>שימו לב: לפי נתוני הסקר (מס הכנסה+רווחי הון בלבד, ברמת משק הבית) החמישון העליון נושא כ-68% מהנטל ב-2022 — לא 80%. פער זה נובע ככל הנראה מהבדל בשיטת המדידה של הטענה המקורית (למשל: עשירונים/פרטים במקום חמישונים/משקי בית, או מקור נתונים אחר של רשות המסים).</t>
        </is>
      </c>
    </row>
    <row r="37">
      <c r="A37" s="5" t="inlineStr">
        <is>
          <t>מס הכנסה ממוצע משוקלל למשק בית מכלל הקבוצה (₪, 2022) — עוזר לחישובי התחזית</t>
        </is>
      </c>
    </row>
    <row r="38">
      <c r="A38" s="6" t="inlineStr">
        <is>
          <t>קבוצת אוכלוסייה</t>
        </is>
      </c>
      <c r="B38" s="6" t="inlineStr">
        <is>
          <t>ממוצע כללי (כל 5 החמישונים)</t>
        </is>
      </c>
      <c r="C38" s="6" t="inlineStr">
        <is>
          <t>ממוצע הנובע מחמישון 5 בלבד</t>
        </is>
      </c>
    </row>
    <row r="39">
      <c r="A39" s="7" t="inlineStr">
        <is>
          <t>יהודים לא חרדים</t>
        </is>
      </c>
      <c r="B39" s="15">
        <f>G19/(G6*1000)</f>
        <v/>
      </c>
      <c r="C39" s="15">
        <f>F19/(G6*1000)</f>
        <v/>
      </c>
    </row>
    <row r="40">
      <c r="A40" s="7" t="inlineStr">
        <is>
          <t>חרדים</t>
        </is>
      </c>
      <c r="B40" s="15">
        <f>G20/(G7*1000)</f>
        <v/>
      </c>
      <c r="C40" s="15">
        <f>F20/(G7*1000)</f>
        <v/>
      </c>
    </row>
    <row r="41">
      <c r="A41" s="7" t="inlineStr">
        <is>
          <t>ערבים</t>
        </is>
      </c>
      <c r="B41" s="15">
        <f>G21/(G8*1000)</f>
        <v/>
      </c>
      <c r="C41" s="15">
        <f>F21/(G8*1000)</f>
        <v/>
      </c>
    </row>
    <row r="43" ht="28" customHeight="1">
      <c r="A43" s="16" t="inlineStr">
        <is>
          <t>מס הכנסה ממוצע למשק בית, כלל האוכלוסייה, 2022 (₪ לחודש) — נטל הבסיס שאליו משווים כל תחזית</t>
        </is>
      </c>
    </row>
    <row r="44">
      <c r="A44" s="7" t="inlineStr">
        <is>
          <t>ממוצע כלל-ארצי, 2022</t>
        </is>
      </c>
      <c r="B44" s="17">
        <f>G22/(G9*1000)</f>
        <v/>
      </c>
    </row>
  </sheetData>
  <mergeCells count="2">
    <mergeCell ref="A34:G34"/>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rightToLeft="1"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6" customWidth="1" min="3" max="3"/>
    <col width="12" customWidth="1" min="4" max="4"/>
    <col width="12" customWidth="1" min="5" max="5"/>
    <col width="20" customWidth="1" min="6" max="6"/>
  </cols>
  <sheetData>
    <row r="1">
      <c r="A1" s="1" t="inlineStr">
        <is>
          <t>תחזית הרכב האוכלוסייה, 3 תרחישים</t>
        </is>
      </c>
    </row>
    <row r="2">
      <c r="A2" s="2" t="inlineStr">
        <is>
          <t>מקור: מצגת "מאזן פיסקלי מלא" (שקף 8), על בסיס תחזית הלמ"ס</t>
        </is>
      </c>
    </row>
    <row r="4">
      <c r="A4" s="5" t="inlineStr">
        <is>
          <t>שיעור כל קבוצה מסך משקי הבית/האוכלוסייה, לפי תרחיש ושנה</t>
        </is>
      </c>
    </row>
    <row r="5">
      <c r="A5" s="6" t="inlineStr">
        <is>
          <t>תרחיש</t>
        </is>
      </c>
      <c r="B5" s="6" t="inlineStr">
        <is>
          <t>שנה</t>
        </is>
      </c>
      <c r="C5" s="6" t="inlineStr">
        <is>
          <t>יהודים לא חרדים</t>
        </is>
      </c>
      <c r="D5" s="6" t="inlineStr">
        <is>
          <t>ערבים</t>
        </is>
      </c>
      <c r="E5" s="6" t="inlineStr">
        <is>
          <t>חרדים</t>
        </is>
      </c>
    </row>
    <row r="6">
      <c r="A6" s="7" t="inlineStr">
        <is>
          <t>גבוה</t>
        </is>
      </c>
      <c r="B6" s="18" t="n">
        <v>2022</v>
      </c>
      <c r="C6" s="19" t="n">
        <v>0.67</v>
      </c>
      <c r="D6" s="19" t="n">
        <v>0.21</v>
      </c>
      <c r="E6" s="19" t="n">
        <v>0.12</v>
      </c>
    </row>
    <row r="7">
      <c r="A7" s="7" t="inlineStr">
        <is>
          <t>גבוה</t>
        </is>
      </c>
      <c r="B7" s="18" t="n">
        <v>2025</v>
      </c>
      <c r="C7" s="19" t="n">
        <v>0.64</v>
      </c>
      <c r="D7" s="19" t="n">
        <v>0.21</v>
      </c>
      <c r="E7" s="19" t="n">
        <v>0.15</v>
      </c>
    </row>
    <row r="8">
      <c r="A8" s="7" t="inlineStr">
        <is>
          <t>גבוה</t>
        </is>
      </c>
      <c r="B8" s="18" t="n">
        <v>2035</v>
      </c>
      <c r="C8" s="19" t="n">
        <v>0.6</v>
      </c>
      <c r="D8" s="19" t="n">
        <v>0.21</v>
      </c>
      <c r="E8" s="19" t="n">
        <v>0.19</v>
      </c>
    </row>
    <row r="9">
      <c r="A9" s="7" t="inlineStr">
        <is>
          <t>גבוה</t>
        </is>
      </c>
      <c r="B9" s="18" t="n">
        <v>2045</v>
      </c>
      <c r="C9" s="19" t="n">
        <v>0.5600000000000001</v>
      </c>
      <c r="D9" s="19" t="n">
        <v>0.2</v>
      </c>
      <c r="E9" s="19" t="n">
        <v>0.24</v>
      </c>
    </row>
    <row r="10">
      <c r="A10" s="7" t="inlineStr">
        <is>
          <t>גבוה</t>
        </is>
      </c>
      <c r="B10" s="18" t="n">
        <v>2055</v>
      </c>
      <c r="C10" s="19" t="n">
        <v>0.51</v>
      </c>
      <c r="D10" s="19" t="n">
        <v>0.19</v>
      </c>
      <c r="E10" s="19" t="n">
        <v>0.3</v>
      </c>
    </row>
    <row r="11">
      <c r="A11" s="7" t="inlineStr">
        <is>
          <t>גבוה</t>
        </is>
      </c>
      <c r="B11" s="18" t="n">
        <v>2065</v>
      </c>
      <c r="C11" s="19" t="n">
        <v>0.45</v>
      </c>
      <c r="D11" s="19" t="n">
        <v>0.18</v>
      </c>
      <c r="E11" s="19" t="n">
        <v>0.37</v>
      </c>
    </row>
    <row r="12">
      <c r="A12" s="20" t="n"/>
      <c r="B12" s="20" t="n"/>
      <c r="C12" s="20" t="n"/>
      <c r="D12" s="20" t="n"/>
      <c r="E12" s="20" t="n"/>
    </row>
    <row r="13">
      <c r="A13" s="7" t="inlineStr">
        <is>
          <t>ריאלי</t>
        </is>
      </c>
      <c r="B13" s="18" t="n">
        <v>2022</v>
      </c>
      <c r="C13" s="19" t="n">
        <v>0.67</v>
      </c>
      <c r="D13" s="19" t="n">
        <v>0.21</v>
      </c>
      <c r="E13" s="19" t="n">
        <v>0.12</v>
      </c>
    </row>
    <row r="14">
      <c r="A14" s="7" t="inlineStr">
        <is>
          <t>ריאלי</t>
        </is>
      </c>
      <c r="B14" s="18" t="n">
        <v>2025</v>
      </c>
      <c r="C14" s="19" t="n">
        <v>0.64</v>
      </c>
      <c r="D14" s="19" t="n">
        <v>0.21</v>
      </c>
      <c r="E14" s="19" t="n">
        <v>0.15</v>
      </c>
    </row>
    <row r="15">
      <c r="A15" s="7" t="inlineStr">
        <is>
          <t>ריאלי</t>
        </is>
      </c>
      <c r="B15" s="18" t="n">
        <v>2035</v>
      </c>
      <c r="C15" s="19" t="n">
        <v>0.61</v>
      </c>
      <c r="D15" s="19" t="n">
        <v>0.21</v>
      </c>
      <c r="E15" s="19" t="n">
        <v>0.18</v>
      </c>
    </row>
    <row r="16">
      <c r="A16" s="7" t="inlineStr">
        <is>
          <t>ריאלי</t>
        </is>
      </c>
      <c r="B16" s="18" t="n">
        <v>2045</v>
      </c>
      <c r="C16" s="19" t="n">
        <v>0.57</v>
      </c>
      <c r="D16" s="19" t="n">
        <v>0.21</v>
      </c>
      <c r="E16" s="19" t="n">
        <v>0.22</v>
      </c>
    </row>
    <row r="17">
      <c r="A17" s="7" t="inlineStr">
        <is>
          <t>ריאלי</t>
        </is>
      </c>
      <c r="B17" s="18" t="n">
        <v>2055</v>
      </c>
      <c r="C17" s="19" t="n">
        <v>0.53</v>
      </c>
      <c r="D17" s="19" t="n">
        <v>0.2</v>
      </c>
      <c r="E17" s="19" t="n">
        <v>0.27</v>
      </c>
    </row>
    <row r="18">
      <c r="A18" s="7" t="inlineStr">
        <is>
          <t>ריאלי</t>
        </is>
      </c>
      <c r="B18" s="18" t="n">
        <v>2065</v>
      </c>
      <c r="C18" s="19" t="n">
        <v>0.48</v>
      </c>
      <c r="D18" s="19" t="n">
        <v>0.2</v>
      </c>
      <c r="E18" s="19" t="n">
        <v>0.32</v>
      </c>
    </row>
    <row r="19">
      <c r="A19" s="20" t="n"/>
      <c r="B19" s="20" t="n"/>
      <c r="C19" s="20" t="n"/>
      <c r="D19" s="20" t="n"/>
      <c r="E19" s="20" t="n"/>
    </row>
    <row r="20">
      <c r="A20" s="7" t="inlineStr">
        <is>
          <t>נמוך</t>
        </is>
      </c>
      <c r="B20" s="18" t="n">
        <v>2022</v>
      </c>
      <c r="C20" s="19" t="n">
        <v>0.67</v>
      </c>
      <c r="D20" s="19" t="n">
        <v>0.21</v>
      </c>
      <c r="E20" s="19" t="n">
        <v>0.12</v>
      </c>
    </row>
    <row r="21">
      <c r="A21" s="7" t="inlineStr">
        <is>
          <t>נמוך</t>
        </is>
      </c>
      <c r="B21" s="18" t="n">
        <v>2025</v>
      </c>
      <c r="C21" s="19" t="n">
        <v>0.65</v>
      </c>
      <c r="D21" s="19" t="n">
        <v>0.21</v>
      </c>
      <c r="E21" s="19" t="n">
        <v>0.14</v>
      </c>
    </row>
    <row r="22">
      <c r="A22" s="7" t="inlineStr">
        <is>
          <t>נמוך</t>
        </is>
      </c>
      <c r="B22" s="18" t="n">
        <v>2035</v>
      </c>
      <c r="C22" s="19" t="n">
        <v>0.61</v>
      </c>
      <c r="D22" s="19" t="n">
        <v>0.22</v>
      </c>
      <c r="E22" s="19" t="n">
        <v>0.17</v>
      </c>
    </row>
    <row r="23">
      <c r="A23" s="7" t="inlineStr">
        <is>
          <t>נמוך</t>
        </is>
      </c>
      <c r="B23" s="18" t="n">
        <v>2045</v>
      </c>
      <c r="C23" s="19" t="n">
        <v>0.59</v>
      </c>
      <c r="D23" s="19" t="n">
        <v>0.21</v>
      </c>
      <c r="E23" s="19" t="n">
        <v>0.2</v>
      </c>
    </row>
    <row r="24">
      <c r="A24" s="7" t="inlineStr">
        <is>
          <t>נמוך</t>
        </is>
      </c>
      <c r="B24" s="18" t="n">
        <v>2055</v>
      </c>
      <c r="C24" s="19" t="n">
        <v>0.55</v>
      </c>
      <c r="D24" s="19" t="n">
        <v>0.21</v>
      </c>
      <c r="E24" s="19" t="n">
        <v>0.24</v>
      </c>
    </row>
    <row r="25">
      <c r="A25" s="7" t="inlineStr">
        <is>
          <t>נמוך</t>
        </is>
      </c>
      <c r="B25" s="18" t="n">
        <v>2065</v>
      </c>
      <c r="C25" s="19" t="n">
        <v>0.53</v>
      </c>
      <c r="D25" s="19" t="n">
        <v>0.2</v>
      </c>
      <c r="E25" s="19" t="n">
        <v>0.27</v>
      </c>
    </row>
    <row r="27">
      <c r="A27" s="5" t="inlineStr">
        <is>
          <t>הנחות קצב גידול אוכלוסייה שנתי, לפי תרחיש ותקופה (מקור: תחזית הלמ"ס 2015-2065, קירוב מתועד)</t>
        </is>
      </c>
    </row>
    <row r="28">
      <c r="A28" s="6" t="inlineStr">
        <is>
          <t>תרחיש</t>
        </is>
      </c>
      <c r="B28" s="6" t="inlineStr">
        <is>
          <t>תקופה</t>
        </is>
      </c>
      <c r="C28" s="6" t="inlineStr">
        <is>
          <t>קצב שנתי</t>
        </is>
      </c>
      <c r="D28" s="6" t="inlineStr">
        <is>
          <t>מס' שנים בתקופה</t>
        </is>
      </c>
    </row>
    <row r="29">
      <c r="A29" s="20" t="n"/>
      <c r="B29" s="20" t="n"/>
      <c r="C29" s="20" t="n"/>
      <c r="D29" s="20" t="n"/>
    </row>
    <row r="30">
      <c r="A30" s="7" t="inlineStr">
        <is>
          <t>גבוה</t>
        </is>
      </c>
      <c r="B30" s="20" t="inlineStr">
        <is>
          <t>2022-2045</t>
        </is>
      </c>
      <c r="C30" s="21" t="n">
        <v>0.021</v>
      </c>
      <c r="D30" s="22" t="n">
        <v>23</v>
      </c>
    </row>
    <row r="31">
      <c r="A31" s="7" t="inlineStr">
        <is>
          <t>גבוה</t>
        </is>
      </c>
      <c r="B31" s="20" t="inlineStr">
        <is>
          <t>2046-2055</t>
        </is>
      </c>
      <c r="C31" s="21" t="n">
        <v>0.023</v>
      </c>
      <c r="D31" s="22" t="n">
        <v>10</v>
      </c>
    </row>
    <row r="32">
      <c r="A32" s="7" t="inlineStr">
        <is>
          <t>גבוה</t>
        </is>
      </c>
      <c r="B32" s="20" t="inlineStr">
        <is>
          <t>2056-2065</t>
        </is>
      </c>
      <c r="C32" s="21" t="n">
        <v>0.024</v>
      </c>
      <c r="D32" s="22" t="n">
        <v>10</v>
      </c>
    </row>
    <row r="33">
      <c r="A33" s="20" t="n"/>
      <c r="B33" s="20" t="n"/>
      <c r="C33" s="20" t="n"/>
      <c r="D33" s="20" t="n"/>
    </row>
    <row r="34">
      <c r="A34" s="7" t="inlineStr">
        <is>
          <t>ריאלי</t>
        </is>
      </c>
      <c r="B34" s="20" t="inlineStr">
        <is>
          <t>2022-2025</t>
        </is>
      </c>
      <c r="C34" s="21" t="n">
        <v>0.019</v>
      </c>
      <c r="D34" s="22" t="n">
        <v>3</v>
      </c>
    </row>
    <row r="35">
      <c r="A35" s="7" t="inlineStr">
        <is>
          <t>ריאלי</t>
        </is>
      </c>
      <c r="B35" s="20" t="inlineStr">
        <is>
          <t>2026-2035</t>
        </is>
      </c>
      <c r="C35" s="21" t="n">
        <v>0.018</v>
      </c>
      <c r="D35" s="22" t="n">
        <v>10</v>
      </c>
    </row>
    <row r="36">
      <c r="A36" s="7" t="inlineStr">
        <is>
          <t>ריאלי</t>
        </is>
      </c>
      <c r="B36" s="20" t="inlineStr">
        <is>
          <t>2036-2055</t>
        </is>
      </c>
      <c r="C36" s="21" t="n">
        <v>0.017</v>
      </c>
      <c r="D36" s="22" t="n">
        <v>20</v>
      </c>
    </row>
    <row r="37">
      <c r="A37" s="7" t="inlineStr">
        <is>
          <t>ריאלי</t>
        </is>
      </c>
      <c r="B37" s="20" t="inlineStr">
        <is>
          <t>2056-2065</t>
        </is>
      </c>
      <c r="C37" s="21" t="n">
        <v>0.016</v>
      </c>
      <c r="D37" s="22" t="n">
        <v>10</v>
      </c>
    </row>
    <row r="38">
      <c r="A38" s="20" t="n"/>
      <c r="B38" s="20" t="n"/>
      <c r="C38" s="20" t="n"/>
      <c r="D38" s="20" t="n"/>
    </row>
    <row r="39">
      <c r="A39" s="7" t="inlineStr">
        <is>
          <t>נמוך</t>
        </is>
      </c>
      <c r="B39" s="20" t="inlineStr">
        <is>
          <t>2022-2025</t>
        </is>
      </c>
      <c r="C39" s="21" t="n">
        <v>0.017</v>
      </c>
      <c r="D39" s="22" t="n">
        <v>3</v>
      </c>
    </row>
    <row r="40">
      <c r="A40" s="7" t="inlineStr">
        <is>
          <t>נמוך</t>
        </is>
      </c>
      <c r="B40" s="20" t="inlineStr">
        <is>
          <t>2026-2035</t>
        </is>
      </c>
      <c r="C40" s="21" t="n">
        <v>0.014</v>
      </c>
      <c r="D40" s="22" t="n">
        <v>10</v>
      </c>
    </row>
    <row r="41">
      <c r="A41" s="7" t="inlineStr">
        <is>
          <t>נמוך</t>
        </is>
      </c>
      <c r="B41" s="20" t="inlineStr">
        <is>
          <t>2036-2045</t>
        </is>
      </c>
      <c r="C41" s="21" t="n">
        <v>0.013</v>
      </c>
      <c r="D41" s="22" t="n">
        <v>10</v>
      </c>
    </row>
    <row r="42">
      <c r="A42" s="7" t="inlineStr">
        <is>
          <t>נמוך</t>
        </is>
      </c>
      <c r="B42" s="20" t="inlineStr">
        <is>
          <t>2046-2055</t>
        </is>
      </c>
      <c r="C42" s="21" t="n">
        <v>0.01</v>
      </c>
      <c r="D42" s="22" t="n">
        <v>10</v>
      </c>
    </row>
    <row r="43">
      <c r="A43" s="7" t="inlineStr">
        <is>
          <t>נמוך</t>
        </is>
      </c>
      <c r="B43" s="20" t="inlineStr">
        <is>
          <t>2056-2065</t>
        </is>
      </c>
      <c r="C43" s="21" t="n">
        <v>0.008</v>
      </c>
      <c r="D43" s="22" t="n">
        <v>10</v>
      </c>
    </row>
    <row r="46">
      <c r="A46" s="5" t="inlineStr">
        <is>
          <t>מדד גידול מספר משקי הבית (יחסית ל-2022=1.00), לפי תרחיש ושנה — מבוסס על הקצבים לעיל</t>
        </is>
      </c>
    </row>
    <row r="47">
      <c r="A47" s="6" t="inlineStr">
        <is>
          <t>תרחיש</t>
        </is>
      </c>
      <c r="B47" s="6" t="inlineStr">
        <is>
          <t>2022</t>
        </is>
      </c>
      <c r="C47" s="6" t="inlineStr">
        <is>
          <t>2025</t>
        </is>
      </c>
      <c r="D47" s="6" t="inlineStr">
        <is>
          <t>2035</t>
        </is>
      </c>
      <c r="E47" s="6" t="inlineStr">
        <is>
          <t>2045</t>
        </is>
      </c>
      <c r="F47" s="6" t="inlineStr">
        <is>
          <t>2055</t>
        </is>
      </c>
      <c r="G47" s="6" t="inlineStr">
        <is>
          <t>2065</t>
        </is>
      </c>
    </row>
    <row r="48">
      <c r="A48" s="7" t="inlineStr">
        <is>
          <t>גבוה</t>
        </is>
      </c>
      <c r="B48" s="23" t="n">
        <v>1</v>
      </c>
      <c r="C48" s="23">
        <f>B48*(1+$C$30)^3</f>
        <v/>
      </c>
      <c r="D48" s="23">
        <f>C48*(1+$C$30)^10</f>
        <v/>
      </c>
      <c r="E48" s="23">
        <f>D48*(1+$C$30)^10</f>
        <v/>
      </c>
      <c r="F48" s="23">
        <f>E48*(1+$C$31)^$D$31</f>
        <v/>
      </c>
      <c r="G48" s="23">
        <f>F48*(1+$C$32)^$D$32</f>
        <v/>
      </c>
    </row>
    <row r="49">
      <c r="A49" s="7" t="inlineStr">
        <is>
          <t>ריאלי</t>
        </is>
      </c>
      <c r="B49" s="23" t="n">
        <v>1</v>
      </c>
      <c r="C49" s="23">
        <f>B49*(1+$C$34)^$D$34</f>
        <v/>
      </c>
      <c r="D49" s="23">
        <f>C49*(1+$C$35)^$D$35</f>
        <v/>
      </c>
      <c r="E49" s="23">
        <f>D49*(1+$C$36)^10</f>
        <v/>
      </c>
      <c r="F49" s="23">
        <f>E49*(1+$C$36)^10</f>
        <v/>
      </c>
      <c r="G49" s="23">
        <f>F49*(1+$C$37)^$D$37</f>
        <v/>
      </c>
    </row>
    <row r="50">
      <c r="A50" s="7" t="inlineStr">
        <is>
          <t>נמוך</t>
        </is>
      </c>
      <c r="B50" s="23" t="n">
        <v>1</v>
      </c>
      <c r="C50" s="23">
        <f>B50*(1+$C$39)^$D$39</f>
        <v/>
      </c>
      <c r="D50" s="23">
        <f>C50*(1+$C$40)^$D$40</f>
        <v/>
      </c>
      <c r="E50" s="23">
        <f>D50*(1+$C$41)^$D$41</f>
        <v/>
      </c>
      <c r="F50" s="23">
        <f>E50*(1+$C$42)^$D$42</f>
        <v/>
      </c>
      <c r="G50" s="23">
        <f>F50*(1+$C$43)^$D$43</f>
        <v/>
      </c>
    </row>
    <row r="52" ht="40" customHeight="1">
      <c r="A52" s="14" t="inlineStr">
        <is>
          <t>הסתייגות: קצב גידול משקי הבית מקורב כאן לקצב גידול האוכלוסייה הכללי, ואינו מתקן להבדלי גודל משק בית בין הקבוצות (גודל משק בית חרדי גדול משמעותית מהממוצע). זהו קירוב סביר לכיוון השינוי ולסדר הגודל שלו, לא תחזית מדויקת של מספר משקי הבית העתידי.</t>
        </is>
      </c>
    </row>
  </sheetData>
  <mergeCells count="1">
    <mergeCell ref="A52:G5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
  <sheetViews>
    <sheetView rightToLeft="1"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פירוט מלא: תרחיש ריאלי (תרחיש הביניים), שנת 2065</t>
        </is>
      </c>
    </row>
    <row r="2">
      <c r="A2" s="2" t="inlineStr">
        <is>
          <t>כל הערכים בעמודה זו מחושבים אוטומטית מהגיליונות 'בסיס 2022' ו'תחזית הרכב אוכלוסייה'</t>
        </is>
      </c>
    </row>
    <row r="4">
      <c r="A4" s="7" t="inlineStr">
        <is>
          <t>מדד גידול מספר משקי הבית עד 2065 (יחסית ל-2022=1.00)</t>
        </is>
      </c>
      <c r="B4" s="23">
        <f>'תחזית הרכב אוכלוסייה'!G49</f>
        <v/>
      </c>
    </row>
    <row r="5">
      <c r="A5" s="7" t="inlineStr">
        <is>
          <t>סה"כ משקי בית, 2022 (אלפים)</t>
        </is>
      </c>
      <c r="B5" s="24">
        <f>'בסיס 2022'!G9</f>
        <v/>
      </c>
    </row>
    <row r="6">
      <c r="A6" s="7" t="inlineStr">
        <is>
          <t>סה"כ משקי בית, 2065 (אלפים) — לפי מדד הגידול</t>
        </is>
      </c>
      <c r="B6" s="9">
        <f>B5*B4</f>
        <v/>
      </c>
    </row>
    <row r="7">
      <c r="A7" s="7" t="inlineStr">
        <is>
          <t>חלק יהודים לא-חרדים באוכלוסייה, 2065 (תרחיש ריאלי)</t>
        </is>
      </c>
      <c r="B7" s="13">
        <f>'תחזית הרכב אוכלוסייה'!C18</f>
        <v/>
      </c>
    </row>
    <row r="8">
      <c r="A8" s="7" t="inlineStr">
        <is>
          <t>חלק חרדים באוכלוסייה, 2065 (תרחיש ריאלי)</t>
        </is>
      </c>
      <c r="B8" s="13">
        <f>'תחזית הרכב אוכלוסייה'!E18</f>
        <v/>
      </c>
    </row>
    <row r="9">
      <c r="A9" s="7" t="inlineStr">
        <is>
          <t>חלק ערבים באוכלוסייה, 2065 (תרחיש ריאלי)</t>
        </is>
      </c>
      <c r="B9" s="13">
        <f>'תחזית הרכב אוכלוסייה'!D18</f>
        <v/>
      </c>
    </row>
    <row r="11">
      <c r="A11" s="5" t="inlineStr">
        <is>
          <t>משקי בית עתידיים לפי קבוצה, 2065 (אלפים)</t>
        </is>
      </c>
    </row>
    <row r="12">
      <c r="A12" s="6" t="inlineStr"/>
      <c r="B12" s="6" t="inlineStr">
        <is>
          <t>יהודים לא חרדים</t>
        </is>
      </c>
      <c r="C12" s="6" t="inlineStr">
        <is>
          <t>חרדים</t>
        </is>
      </c>
      <c r="D12" s="6" t="inlineStr">
        <is>
          <t>ערבים</t>
        </is>
      </c>
    </row>
    <row r="13">
      <c r="A13" s="7" t="inlineStr">
        <is>
          <t>סה"כ</t>
        </is>
      </c>
      <c r="B13" s="24">
        <f>$B$6*B7</f>
        <v/>
      </c>
      <c r="C13" s="24">
        <f>$B$6*B8</f>
        <v/>
      </c>
      <c r="D13" s="24">
        <f>$B$6*B9</f>
        <v/>
      </c>
    </row>
    <row r="15">
      <c r="A15" s="5" t="inlineStr">
        <is>
          <t>משקי בית עתידיים לפי קבוצה וחמישון, 2065 (אלפים) — לפי ההתפלגות הפנימית הקבועה מ-2022</t>
        </is>
      </c>
    </row>
    <row r="16">
      <c r="A16" s="6" t="inlineStr">
        <is>
          <t>קבוצת אוכלוסייה</t>
        </is>
      </c>
      <c r="B16" s="6" t="inlineStr">
        <is>
          <t>חמישון 1</t>
        </is>
      </c>
      <c r="C16" s="6" t="inlineStr">
        <is>
          <t>חמישון 2</t>
        </is>
      </c>
      <c r="D16" s="6" t="inlineStr">
        <is>
          <t>חמישון 3</t>
        </is>
      </c>
      <c r="E16" s="6" t="inlineStr">
        <is>
          <t>חמישון 4</t>
        </is>
      </c>
      <c r="F16" s="6" t="inlineStr">
        <is>
          <t>חמישון 5</t>
        </is>
      </c>
      <c r="G16" s="6" t="inlineStr">
        <is>
          <t>סה"כ</t>
        </is>
      </c>
    </row>
    <row r="17">
      <c r="A17" s="7" t="inlineStr">
        <is>
          <t>יהודים לא חרדים</t>
        </is>
      </c>
      <c r="B17" s="24">
        <f>$B$13*'בסיס 2022'!B26</f>
        <v/>
      </c>
      <c r="C17" s="24">
        <f>$B$13*'בסיס 2022'!C26</f>
        <v/>
      </c>
      <c r="D17" s="24">
        <f>$B$13*'בסיס 2022'!D26</f>
        <v/>
      </c>
      <c r="E17" s="24">
        <f>$B$13*'בסיס 2022'!E26</f>
        <v/>
      </c>
      <c r="F17" s="24">
        <f>$B$13*'בסיס 2022'!F26</f>
        <v/>
      </c>
      <c r="G17" s="9">
        <f>SUM(B17:F17)</f>
        <v/>
      </c>
    </row>
    <row r="18">
      <c r="A18" s="7" t="inlineStr">
        <is>
          <t>חרדים</t>
        </is>
      </c>
      <c r="B18" s="24">
        <f>$C$13*'בסיס 2022'!B27</f>
        <v/>
      </c>
      <c r="C18" s="24">
        <f>$C$13*'בסיס 2022'!C27</f>
        <v/>
      </c>
      <c r="D18" s="24">
        <f>$C$13*'בסיס 2022'!D27</f>
        <v/>
      </c>
      <c r="E18" s="24">
        <f>$C$13*'בסיס 2022'!E27</f>
        <v/>
      </c>
      <c r="F18" s="24">
        <f>$C$13*'בסיס 2022'!F27</f>
        <v/>
      </c>
      <c r="G18" s="9">
        <f>SUM(B18:F18)</f>
        <v/>
      </c>
    </row>
    <row r="19">
      <c r="A19" s="7" t="inlineStr">
        <is>
          <t>ערבים</t>
        </is>
      </c>
      <c r="B19" s="24">
        <f>$D$13*'בסיס 2022'!B28</f>
        <v/>
      </c>
      <c r="C19" s="24">
        <f>$D$13*'בסיס 2022'!C28</f>
        <v/>
      </c>
      <c r="D19" s="24">
        <f>$D$13*'בסיס 2022'!D28</f>
        <v/>
      </c>
      <c r="E19" s="24">
        <f>$D$13*'בסיס 2022'!E28</f>
        <v/>
      </c>
      <c r="F19" s="24">
        <f>$D$13*'בסיס 2022'!F28</f>
        <v/>
      </c>
      <c r="G19" s="9">
        <f>SUM(B19:F19)</f>
        <v/>
      </c>
    </row>
    <row r="20">
      <c r="A20" s="7" t="inlineStr">
        <is>
          <t>סה"כ</t>
        </is>
      </c>
      <c r="B20" s="9">
        <f>SUM(B17:B19)</f>
        <v/>
      </c>
      <c r="C20" s="9">
        <f>SUM(C17:C19)</f>
        <v/>
      </c>
      <c r="D20" s="9">
        <f>SUM(D17:D19)</f>
        <v/>
      </c>
      <c r="E20" s="9">
        <f>SUM(E17:E19)</f>
        <v/>
      </c>
      <c r="F20" s="9">
        <f>SUM(F17:F19)</f>
        <v/>
      </c>
      <c r="G20" s="9">
        <f>SUM(G17:G19)</f>
        <v/>
      </c>
    </row>
    <row r="22">
      <c r="A22" s="5" t="inlineStr">
        <is>
          <t>הכנסת מדינה עתידית ממס הכנסה+רווחי הון, 2065 — בהנחת מס ממוצע קבוע כמו 2022 (₪ לחודש)</t>
        </is>
      </c>
    </row>
    <row r="23">
      <c r="A23" s="6" t="inlineStr">
        <is>
          <t>קבוצת אוכלוסייה</t>
        </is>
      </c>
      <c r="B23" s="6" t="inlineStr">
        <is>
          <t>חמישון 1</t>
        </is>
      </c>
      <c r="C23" s="6" t="inlineStr">
        <is>
          <t>חמישון 2</t>
        </is>
      </c>
      <c r="D23" s="6" t="inlineStr">
        <is>
          <t>חמישון 3</t>
        </is>
      </c>
      <c r="E23" s="6" t="inlineStr">
        <is>
          <t>חמישון 4</t>
        </is>
      </c>
      <c r="F23" s="6" t="inlineStr">
        <is>
          <t>חמישון 5</t>
        </is>
      </c>
      <c r="G23" s="6" t="inlineStr">
        <is>
          <t>סה"כ</t>
        </is>
      </c>
    </row>
    <row r="24">
      <c r="A24" s="7" t="inlineStr">
        <is>
          <t>יהודים לא חרדים</t>
        </is>
      </c>
      <c r="B24" s="11">
        <f>B17*1000*'בסיס 2022'!B13</f>
        <v/>
      </c>
      <c r="C24" s="11">
        <f>C17*1000*'בסיס 2022'!C13</f>
        <v/>
      </c>
      <c r="D24" s="11">
        <f>D17*1000*'בסיס 2022'!D13</f>
        <v/>
      </c>
      <c r="E24" s="11">
        <f>E17*1000*'בסיס 2022'!E13</f>
        <v/>
      </c>
      <c r="F24" s="11">
        <f>F17*1000*'בסיס 2022'!F13</f>
        <v/>
      </c>
      <c r="G24" s="12">
        <f>SUM(B24:F24)</f>
        <v/>
      </c>
    </row>
    <row r="25">
      <c r="A25" s="7" t="inlineStr">
        <is>
          <t>חרדים</t>
        </is>
      </c>
      <c r="B25" s="11">
        <f>B18*1000*'בסיס 2022'!B14</f>
        <v/>
      </c>
      <c r="C25" s="11">
        <f>C18*1000*'בסיס 2022'!C14</f>
        <v/>
      </c>
      <c r="D25" s="11">
        <f>D18*1000*'בסיס 2022'!D14</f>
        <v/>
      </c>
      <c r="E25" s="11">
        <f>E18*1000*'בסיס 2022'!E14</f>
        <v/>
      </c>
      <c r="F25" s="11">
        <f>F18*1000*'בסיס 2022'!F14</f>
        <v/>
      </c>
      <c r="G25" s="12">
        <f>SUM(B25:F25)</f>
        <v/>
      </c>
    </row>
    <row r="26">
      <c r="A26" s="7" t="inlineStr">
        <is>
          <t>ערבים</t>
        </is>
      </c>
      <c r="B26" s="11">
        <f>B19*1000*'בסיס 2022'!B15</f>
        <v/>
      </c>
      <c r="C26" s="11">
        <f>C19*1000*'בסיס 2022'!C15</f>
        <v/>
      </c>
      <c r="D26" s="11">
        <f>D19*1000*'בסיס 2022'!D15</f>
        <v/>
      </c>
      <c r="E26" s="11">
        <f>E19*1000*'בסיס 2022'!E15</f>
        <v/>
      </c>
      <c r="F26" s="11">
        <f>F19*1000*'בסיס 2022'!F15</f>
        <v/>
      </c>
      <c r="G26" s="12">
        <f>SUM(B26:F26)</f>
        <v/>
      </c>
    </row>
    <row r="27">
      <c r="A27" s="7" t="inlineStr">
        <is>
          <t>סה"כ</t>
        </is>
      </c>
      <c r="B27" s="12">
        <f>SUM(B24:B26)</f>
        <v/>
      </c>
      <c r="C27" s="12">
        <f>SUM(C24:C26)</f>
        <v/>
      </c>
      <c r="D27" s="12">
        <f>SUM(D24:D26)</f>
        <v/>
      </c>
      <c r="E27" s="12">
        <f>SUM(E24:E26)</f>
        <v/>
      </c>
      <c r="F27" s="12">
        <f>SUM(F24:F26)</f>
        <v/>
      </c>
      <c r="G27" s="12">
        <f>SUM(G24:G26)</f>
        <v/>
      </c>
    </row>
    <row r="29">
      <c r="A29" s="25" t="inlineStr">
        <is>
          <t>השוואה להיום — נטרול אפקט גידול האוכלוסייה (ממוצע למשק בית, לא סך הכל)</t>
        </is>
      </c>
    </row>
    <row r="30">
      <c r="A30" s="7" t="inlineStr">
        <is>
          <t>מס הכנסה ממוצע למשק בית, 2022 (₪ לחודש) — נטל הבסיס שמושווים אליו</t>
        </is>
      </c>
      <c r="B30" s="15">
        <f>'בסיס 2022'!B44</f>
        <v/>
      </c>
    </row>
    <row r="31">
      <c r="A31" s="7" t="inlineStr">
        <is>
          <t>מס הכנסה ממוצע למשק בית, 2065 'ללא שינוי מדיניות' (₪ לחודש)</t>
        </is>
      </c>
      <c r="B31" s="15">
        <f>G27/(G20*1000)</f>
        <v/>
      </c>
    </row>
    <row r="32">
      <c r="A32" s="7" t="inlineStr">
        <is>
          <t>הפער בנטל הממוצע למשק"ב (%) — זהו אפקט שינוי התמהיל בלבד, מנוטרל מגידול האוכלוסייה</t>
        </is>
      </c>
      <c r="B32" s="13">
        <f>B31/B30-1</f>
        <v/>
      </c>
    </row>
    <row r="34">
      <c r="A34" s="26" t="inlineStr">
        <is>
          <t>לשם השוואה בלבד — בערכים נומינליים (כולל את אפקט גידול האוכלוסייה)</t>
        </is>
      </c>
    </row>
    <row r="35">
      <c r="A35" s="27" t="inlineStr">
        <is>
          <t>הכנסת המדינה הכוללת, 2022 (₪ לחודש, בפועל)</t>
        </is>
      </c>
      <c r="B35" s="11">
        <f>'בסיס 2022'!G22</f>
        <v/>
      </c>
    </row>
    <row r="36">
      <c r="A36" s="27" t="inlineStr">
        <is>
          <t>הכנסת המדינה הכוללת, 2065 'ללא שינוי מדיניות' (₪ לחודש)</t>
        </is>
      </c>
      <c r="B36" s="11">
        <f>G27</f>
        <v/>
      </c>
    </row>
    <row r="37">
      <c r="A37" s="28" t="inlineStr">
        <is>
          <t>שינוי נומינלי (%) — עולה חרף ירידת הממוצע למשק"ב, כי האוכלוסייה גדלה</t>
        </is>
      </c>
      <c r="B37" s="13">
        <f>B36/B35-1</f>
        <v/>
      </c>
    </row>
    <row r="39">
      <c r="A39" s="7" t="inlineStr">
        <is>
          <t>חלק חמישון 5 (העליון) מסך נטל מס ההכנסה, 2022</t>
        </is>
      </c>
      <c r="B39" s="13">
        <f>'בסיס 2022'!F32</f>
        <v/>
      </c>
    </row>
    <row r="40">
      <c r="A40" s="7" t="inlineStr">
        <is>
          <t>חלק חמישון 5 מסך הנטל, 2065 'ללא שינוי מדיניות'</t>
        </is>
      </c>
      <c r="B40" s="13">
        <f>F27/G27</f>
        <v/>
      </c>
    </row>
    <row r="42">
      <c r="A42" s="25" t="inlineStr">
        <is>
          <t>כדי לשמור על אותו נטל מס ממוצע למשק"ב כמו היום (מבודד מגידול האוכלוסייה) — שלוש חלופות</t>
        </is>
      </c>
    </row>
    <row r="44" ht="28" customHeight="1">
      <c r="A44" s="29" t="inlineStr">
        <is>
          <t>יעד הכנסה כוללת 2065 — לו נשמר הנטל הממוצע למשק"ב כמו 2022, על אוכלוסיית 2065 הגדולה יותר (₪ לחודש)</t>
        </is>
      </c>
      <c r="B44" s="11">
        <f>B30*B6*1000</f>
        <v/>
      </c>
    </row>
    <row r="45">
      <c r="A45" s="7" t="inlineStr">
        <is>
          <t>הכנסה בפועל 2065 'ללא שינוי מדיניות' (₪ לחודש)</t>
        </is>
      </c>
      <c r="B45" s="11">
        <f>G27</f>
        <v/>
      </c>
    </row>
    <row r="46">
      <c r="A46" s="7" t="inlineStr">
        <is>
          <t>פער מהיעד (₪ לחודש)</t>
        </is>
      </c>
      <c r="B46" s="11">
        <f>B44-B45</f>
        <v/>
      </c>
    </row>
    <row r="48">
      <c r="A48" s="7" t="inlineStr">
        <is>
          <t>א. העלאה אחידה (%) על תשלום המס הממוצע בכל התאים (כל קבוצה וחמישון)</t>
        </is>
      </c>
      <c r="B48" s="20" t="n"/>
    </row>
    <row r="49">
      <c r="A49" s="27" t="inlineStr">
        <is>
          <t>שיעור ההעלאה הנדרש</t>
        </is>
      </c>
      <c r="B49" s="13">
        <f>B44/B45-1</f>
        <v/>
      </c>
    </row>
    <row r="50">
      <c r="A50" s="28" t="inlineStr">
        <is>
          <t>משמעות: התפלגות הנטל בין החמישונים לא משתנה — עדיין</t>
        </is>
      </c>
      <c r="B50" s="13">
        <f>F27/G27</f>
        <v/>
      </c>
    </row>
    <row r="52">
      <c r="A52" s="5" t="inlineStr">
        <is>
          <t>ב. הפער מתחלק בין חמישונים 2-5 בלבד (לא חמישון 1), ביחס לנטל שהם כבר נושאים היום</t>
        </is>
      </c>
    </row>
    <row r="53">
      <c r="A53" s="20" t="inlineStr"/>
      <c r="B53" s="20" t="n"/>
      <c r="C53" s="6" t="inlineStr">
        <is>
          <t>חמישון 2</t>
        </is>
      </c>
      <c r="D53" s="6" t="inlineStr">
        <is>
          <t>חמישון 3</t>
        </is>
      </c>
      <c r="E53" s="6" t="inlineStr">
        <is>
          <t>חמישון 4</t>
        </is>
      </c>
      <c r="F53" s="6" t="inlineStr">
        <is>
          <t>חמישון 5</t>
        </is>
      </c>
    </row>
    <row r="54">
      <c r="A54" s="27" t="inlineStr">
        <is>
          <t>תוספת הכנסה נדרשת (₪ לחודש)</t>
        </is>
      </c>
      <c r="B54" s="20" t="n"/>
      <c r="C54" s="11">
        <f>($B$44-$B$45)*C27/SUM($C27:$F27)</f>
        <v/>
      </c>
      <c r="D54" s="11">
        <f>($B$44-$B$45)*D27/SUM($C27:$F27)</f>
        <v/>
      </c>
      <c r="E54" s="11">
        <f>($B$44-$B$45)*E27/SUM($C27:$F27)</f>
        <v/>
      </c>
      <c r="F54" s="11">
        <f>($B$44-$B$45)*F27/SUM($C27:$F27)</f>
        <v/>
      </c>
    </row>
    <row r="55">
      <c r="A55" s="27" t="inlineStr">
        <is>
          <t>העלאת נטל נדרשת על חמישון זה (%)</t>
        </is>
      </c>
      <c r="B55" s="20" t="n"/>
      <c r="C55" s="13">
        <f>C54/C27</f>
        <v/>
      </c>
      <c r="D55" s="13">
        <f>D54/D27</f>
        <v/>
      </c>
      <c r="E55" s="13">
        <f>E54/E27</f>
        <v/>
      </c>
      <c r="F55" s="13">
        <f>F54/F27</f>
        <v/>
      </c>
    </row>
    <row r="57">
      <c r="A57" s="5" t="inlineStr">
        <is>
          <t>ג. חמישון 5 (העליון) בלבד סופג את כל הפער</t>
        </is>
      </c>
    </row>
    <row r="58">
      <c r="A58" s="27" t="inlineStr">
        <is>
          <t>תוספת הכנסה נדרשת מחמישון 5 (₪ לחודש)</t>
        </is>
      </c>
      <c r="B58" s="11">
        <f>B44-B45</f>
        <v/>
      </c>
    </row>
    <row r="59">
      <c r="A59" s="27" t="inlineStr">
        <is>
          <t>הכנסת מס חדשה, חמישון 5 (₪ לחודש)</t>
        </is>
      </c>
      <c r="B59" s="11">
        <f>F27+B58</f>
        <v/>
      </c>
    </row>
    <row r="60">
      <c r="A60" s="7" t="inlineStr">
        <is>
          <t>העלאת נטל נדרשת על חמישון 5 (%)</t>
        </is>
      </c>
      <c r="B60" s="13">
        <f>B58/F27</f>
        <v/>
      </c>
    </row>
    <row r="61">
      <c r="A61" s="7" t="inlineStr">
        <is>
          <t>חלק חמישון 5 מסך הנטל אחרי ההתאמה (מתוך היעד)</t>
        </is>
      </c>
      <c r="B61" s="13">
        <f>B59/B44</f>
        <v/>
      </c>
    </row>
    <row r="62">
      <c r="A62" s="27" t="inlineStr">
        <is>
          <t>מס הכנסה חודשי ממוצע חדש למשק בית בחמישון 5 (₪, ממוצע כלל-קבוצתי)</t>
        </is>
      </c>
      <c r="B62" s="15">
        <f>B59/(F20*1000)</f>
        <v/>
      </c>
    </row>
    <row r="63">
      <c r="A63" s="27" t="inlineStr">
        <is>
          <t>לשם השוואה: מס הכנסה חודשי ממוצע למשק"ב בחמישון 5, 2022 (₪, ממוצע כלל-קבוצתי)</t>
        </is>
      </c>
      <c r="B63" s="15">
        <f>'בסיס 2022'!F19/('בסיס 2022'!F9*1000)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1"/>
  <sheetViews>
    <sheetView rightToLeft="1" workbookViewId="0">
      <pane ySplit="4" topLeftCell="A5" activePane="bottomLeft" state="frozen"/>
      <selection pane="bottomLef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14" customWidth="1" min="7" max="7"/>
    <col width="16" customWidth="1" min="8" max="8"/>
    <col width="16" customWidth="1" min="9" max="9"/>
    <col width="16" customWidth="1" min="10" max="10"/>
    <col width="14" customWidth="1" min="11" max="11"/>
    <col width="14" customWidth="1" min="12" max="12"/>
    <col width="14" customWidth="1" min="13" max="13"/>
    <col width="14" customWidth="1" min="14" max="14"/>
    <col width="14" customWidth="1" min="15" max="15"/>
    <col width="12" customWidth="1" min="16" max="16"/>
    <col width="14" customWidth="1" min="17" max="17"/>
  </cols>
  <sheetData>
    <row r="1">
      <c r="A1" s="1" t="inlineStr">
        <is>
          <t>השוואת תרחישים: אפקט שינוי התמהיל על נטל המס, מנוטרל מגידול האוכלוסייה</t>
        </is>
      </c>
    </row>
    <row r="2" ht="30" customHeight="1">
      <c r="A2" s="2" t="inlineStr">
        <is>
          <t>כל שורה: תרחיש דמוגרפי + שנת אופק. הפער העיקרי (העמודות המודגשות) הוא מול יעד שגדל עם האוכלוסייה אך שומר על נטל המס הממוצע למשק"ב כמו 2022 — כך שהוא מבודד את אפקט שינוי התמהיל בלבד. כל התאים הם נוסחאות המבוססות על הגיליונות 'בסיס 2022' ו'תחזית הרכב אוכלוסייה'.</t>
        </is>
      </c>
    </row>
    <row r="4" ht="45" customHeight="1">
      <c r="A4" s="6" t="inlineStr">
        <is>
          <t>תרחיש</t>
        </is>
      </c>
      <c r="B4" s="6" t="inlineStr">
        <is>
          <t>שנה</t>
        </is>
      </c>
      <c r="C4" s="6" t="inlineStr">
        <is>
          <t>מדד גידול
משקי"ב</t>
        </is>
      </c>
      <c r="D4" s="6" t="inlineStr">
        <is>
          <t>חלק יל"ח</t>
        </is>
      </c>
      <c r="E4" s="6" t="inlineStr">
        <is>
          <t>חלק חרדים</t>
        </is>
      </c>
      <c r="F4" s="6" t="inlineStr">
        <is>
          <t>חלק ערבים</t>
        </is>
      </c>
      <c r="G4" s="6" t="inlineStr">
        <is>
          <t>סה"כ משקי
בית עתידי (אלפים)</t>
        </is>
      </c>
      <c r="H4" s="6" t="inlineStr">
        <is>
          <t>הכנסה עתידית בפועל
ללא שינוי (₪/חודש)</t>
        </is>
      </c>
      <c r="I4" s="6" t="inlineStr">
        <is>
          <t>הכנסת חמישון 5
ללא שינוי (₪/חודש)</t>
        </is>
      </c>
      <c r="J4" s="6" t="inlineStr">
        <is>
          <t>יעד הכנסה — נטל
ממוצע כמו 2022 (₪/חודש)</t>
        </is>
      </c>
      <c r="K4" s="6" t="inlineStr">
        <is>
          <t>פער מהיעד
(₪/חודש)</t>
        </is>
      </c>
      <c r="L4" s="6" t="inlineStr">
        <is>
          <t>פער מהיעד (%)
– אפקט תמהיל נטו</t>
        </is>
      </c>
      <c r="M4" s="6" t="inlineStr">
        <is>
          <t>לשם השוואה: שינוי
נומינלי מול 2022 (%)</t>
        </is>
      </c>
      <c r="N4" s="6" t="inlineStr">
        <is>
          <t>העלאה אחידה
נדרשת לסגירת הפער (%)</t>
        </is>
      </c>
      <c r="O4" s="6" t="inlineStr">
        <is>
          <t>העלאה על חמישון
5 בלבד לסגירה (%)</t>
        </is>
      </c>
      <c r="P4" s="6" t="inlineStr">
        <is>
          <t>חלק חמישון 5 בנטל
– ללא שינוי</t>
        </is>
      </c>
      <c r="Q4" s="6" t="inlineStr">
        <is>
          <t>חלק חמישון 5 בנטל
– הוא סופג הפער</t>
        </is>
      </c>
    </row>
    <row r="5">
      <c r="A5" s="7" t="inlineStr">
        <is>
          <t>גבוה</t>
        </is>
      </c>
      <c r="B5" s="30" t="n">
        <v>2025</v>
      </c>
      <c r="C5" s="23">
        <f>'תחזית הרכב אוכלוסייה'!C48</f>
        <v/>
      </c>
      <c r="D5" s="13">
        <f>'תחזית הרכב אוכלוסייה'!C7</f>
        <v/>
      </c>
      <c r="E5" s="13">
        <f>'תחזית הרכב אוכלוסייה'!E7</f>
        <v/>
      </c>
      <c r="F5" s="13">
        <f>'תחזית הרכב אוכלוסייה'!D7</f>
        <v/>
      </c>
      <c r="G5" s="24">
        <f>'בסיס 2022'!$G$9*C5</f>
        <v/>
      </c>
      <c r="H5" s="11">
        <f>G5*1000*(D5*'בסיס 2022'!$B$39+E5*'בסיס 2022'!$B$40+F5*'בסיס 2022'!$B$41)</f>
        <v/>
      </c>
      <c r="I5" s="11">
        <f>G5*1000*(D5*'בסיס 2022'!$C$39+E5*'בסיס 2022'!$C$40+F5*'בסיס 2022'!$C$41)</f>
        <v/>
      </c>
      <c r="J5" s="12">
        <f>G5*1000*'בסיס 2022'!$B$44</f>
        <v/>
      </c>
      <c r="K5" s="11">
        <f>J5-H5</f>
        <v/>
      </c>
      <c r="L5" s="31">
        <f>H5/J5-1</f>
        <v/>
      </c>
      <c r="M5" s="32">
        <f>H5/'בסיס 2022'!$G$22-1</f>
        <v/>
      </c>
      <c r="N5" s="13">
        <f>J5/H5-1</f>
        <v/>
      </c>
      <c r="O5" s="13">
        <f>K5/I5</f>
        <v/>
      </c>
      <c r="P5" s="13">
        <f>I5/H5</f>
        <v/>
      </c>
      <c r="Q5" s="13">
        <f>(I5+K5)/J5</f>
        <v/>
      </c>
    </row>
    <row r="6">
      <c r="A6" s="7" t="inlineStr">
        <is>
          <t>גבוה</t>
        </is>
      </c>
      <c r="B6" s="30" t="n">
        <v>2035</v>
      </c>
      <c r="C6" s="23">
        <f>'תחזית הרכב אוכלוסייה'!D48</f>
        <v/>
      </c>
      <c r="D6" s="13">
        <f>'תחזית הרכב אוכלוסייה'!C8</f>
        <v/>
      </c>
      <c r="E6" s="13">
        <f>'תחזית הרכב אוכלוסייה'!E8</f>
        <v/>
      </c>
      <c r="F6" s="13">
        <f>'תחזית הרכב אוכלוסייה'!D8</f>
        <v/>
      </c>
      <c r="G6" s="24">
        <f>'בסיס 2022'!$G$9*C6</f>
        <v/>
      </c>
      <c r="H6" s="11">
        <f>G6*1000*(D6*'בסיס 2022'!$B$39+E6*'בסיס 2022'!$B$40+F6*'בסיס 2022'!$B$41)</f>
        <v/>
      </c>
      <c r="I6" s="11">
        <f>G6*1000*(D6*'בסיס 2022'!$C$39+E6*'בסיס 2022'!$C$40+F6*'בסיס 2022'!$C$41)</f>
        <v/>
      </c>
      <c r="J6" s="12">
        <f>G6*1000*'בסיס 2022'!$B$44</f>
        <v/>
      </c>
      <c r="K6" s="11">
        <f>J6-H6</f>
        <v/>
      </c>
      <c r="L6" s="31">
        <f>H6/J6-1</f>
        <v/>
      </c>
      <c r="M6" s="32">
        <f>H6/'בסיס 2022'!$G$22-1</f>
        <v/>
      </c>
      <c r="N6" s="13">
        <f>J6/H6-1</f>
        <v/>
      </c>
      <c r="O6" s="13">
        <f>K6/I6</f>
        <v/>
      </c>
      <c r="P6" s="13">
        <f>I6/H6</f>
        <v/>
      </c>
      <c r="Q6" s="13">
        <f>(I6+K6)/J6</f>
        <v/>
      </c>
    </row>
    <row r="7">
      <c r="A7" s="7" t="inlineStr">
        <is>
          <t>גבוה</t>
        </is>
      </c>
      <c r="B7" s="30" t="n">
        <v>2045</v>
      </c>
      <c r="C7" s="23">
        <f>'תחזית הרכב אוכלוסייה'!E48</f>
        <v/>
      </c>
      <c r="D7" s="13">
        <f>'תחזית הרכב אוכלוסייה'!C9</f>
        <v/>
      </c>
      <c r="E7" s="13">
        <f>'תחזית הרכב אוכלוסייה'!E9</f>
        <v/>
      </c>
      <c r="F7" s="13">
        <f>'תחזית הרכב אוכלוסייה'!D9</f>
        <v/>
      </c>
      <c r="G7" s="24">
        <f>'בסיס 2022'!$G$9*C7</f>
        <v/>
      </c>
      <c r="H7" s="11">
        <f>G7*1000*(D7*'בסיס 2022'!$B$39+E7*'בסיס 2022'!$B$40+F7*'בסיס 2022'!$B$41)</f>
        <v/>
      </c>
      <c r="I7" s="11">
        <f>G7*1000*(D7*'בסיס 2022'!$C$39+E7*'בסיס 2022'!$C$40+F7*'בסיס 2022'!$C$41)</f>
        <v/>
      </c>
      <c r="J7" s="12">
        <f>G7*1000*'בסיס 2022'!$B$44</f>
        <v/>
      </c>
      <c r="K7" s="11">
        <f>J7-H7</f>
        <v/>
      </c>
      <c r="L7" s="31">
        <f>H7/J7-1</f>
        <v/>
      </c>
      <c r="M7" s="32">
        <f>H7/'בסיס 2022'!$G$22-1</f>
        <v/>
      </c>
      <c r="N7" s="13">
        <f>J7/H7-1</f>
        <v/>
      </c>
      <c r="O7" s="13">
        <f>K7/I7</f>
        <v/>
      </c>
      <c r="P7" s="13">
        <f>I7/H7</f>
        <v/>
      </c>
      <c r="Q7" s="13">
        <f>(I7+K7)/J7</f>
        <v/>
      </c>
    </row>
    <row r="8">
      <c r="A8" s="7" t="inlineStr">
        <is>
          <t>גבוה</t>
        </is>
      </c>
      <c r="B8" s="30" t="n">
        <v>2055</v>
      </c>
      <c r="C8" s="23">
        <f>'תחזית הרכב אוכלוסייה'!F48</f>
        <v/>
      </c>
      <c r="D8" s="13">
        <f>'תחזית הרכב אוכלוסייה'!C10</f>
        <v/>
      </c>
      <c r="E8" s="13">
        <f>'תחזית הרכב אוכלוסייה'!E10</f>
        <v/>
      </c>
      <c r="F8" s="13">
        <f>'תחזית הרכב אוכלוסייה'!D10</f>
        <v/>
      </c>
      <c r="G8" s="24">
        <f>'בסיס 2022'!$G$9*C8</f>
        <v/>
      </c>
      <c r="H8" s="11">
        <f>G8*1000*(D8*'בסיס 2022'!$B$39+E8*'בסיס 2022'!$B$40+F8*'בסיס 2022'!$B$41)</f>
        <v/>
      </c>
      <c r="I8" s="11">
        <f>G8*1000*(D8*'בסיס 2022'!$C$39+E8*'בסיס 2022'!$C$40+F8*'בסיס 2022'!$C$41)</f>
        <v/>
      </c>
      <c r="J8" s="12">
        <f>G8*1000*'בסיס 2022'!$B$44</f>
        <v/>
      </c>
      <c r="K8" s="11">
        <f>J8-H8</f>
        <v/>
      </c>
      <c r="L8" s="31">
        <f>H8/J8-1</f>
        <v/>
      </c>
      <c r="M8" s="32">
        <f>H8/'בסיס 2022'!$G$22-1</f>
        <v/>
      </c>
      <c r="N8" s="13">
        <f>J8/H8-1</f>
        <v/>
      </c>
      <c r="O8" s="13">
        <f>K8/I8</f>
        <v/>
      </c>
      <c r="P8" s="13">
        <f>I8/H8</f>
        <v/>
      </c>
      <c r="Q8" s="13">
        <f>(I8+K8)/J8</f>
        <v/>
      </c>
    </row>
    <row r="9">
      <c r="A9" s="7" t="inlineStr">
        <is>
          <t>גבוה</t>
        </is>
      </c>
      <c r="B9" s="30" t="n">
        <v>2065</v>
      </c>
      <c r="C9" s="23">
        <f>'תחזית הרכב אוכלוסייה'!G48</f>
        <v/>
      </c>
      <c r="D9" s="13">
        <f>'תחזית הרכב אוכלוסייה'!C11</f>
        <v/>
      </c>
      <c r="E9" s="13">
        <f>'תחזית הרכב אוכלוסייה'!E11</f>
        <v/>
      </c>
      <c r="F9" s="13">
        <f>'תחזית הרכב אוכלוסייה'!D11</f>
        <v/>
      </c>
      <c r="G9" s="24">
        <f>'בסיס 2022'!$G$9*C9</f>
        <v/>
      </c>
      <c r="H9" s="11">
        <f>G9*1000*(D9*'בסיס 2022'!$B$39+E9*'בסיס 2022'!$B$40+F9*'בסיס 2022'!$B$41)</f>
        <v/>
      </c>
      <c r="I9" s="11">
        <f>G9*1000*(D9*'בסיס 2022'!$C$39+E9*'בסיס 2022'!$C$40+F9*'בסיס 2022'!$C$41)</f>
        <v/>
      </c>
      <c r="J9" s="12">
        <f>G9*1000*'בסיס 2022'!$B$44</f>
        <v/>
      </c>
      <c r="K9" s="11">
        <f>J9-H9</f>
        <v/>
      </c>
      <c r="L9" s="31">
        <f>H9/J9-1</f>
        <v/>
      </c>
      <c r="M9" s="32">
        <f>H9/'בסיס 2022'!$G$22-1</f>
        <v/>
      </c>
      <c r="N9" s="13">
        <f>J9/H9-1</f>
        <v/>
      </c>
      <c r="O9" s="13">
        <f>K9/I9</f>
        <v/>
      </c>
      <c r="P9" s="13">
        <f>I9/H9</f>
        <v/>
      </c>
      <c r="Q9" s="13">
        <f>(I9+K9)/J9</f>
        <v/>
      </c>
    </row>
    <row r="10">
      <c r="A10" s="20" t="n"/>
      <c r="B10" s="20" t="n"/>
      <c r="C10" s="20" t="n"/>
      <c r="D10" s="20" t="n"/>
      <c r="E10" s="20" t="n"/>
      <c r="F10" s="20" t="n"/>
      <c r="G10" s="20" t="n"/>
      <c r="H10" s="20" t="n"/>
      <c r="I10" s="20" t="n"/>
      <c r="J10" s="20" t="n"/>
      <c r="K10" s="20" t="n"/>
      <c r="L10" s="20" t="n"/>
      <c r="M10" s="20" t="n"/>
      <c r="N10" s="20" t="n"/>
      <c r="O10" s="20" t="n"/>
      <c r="P10" s="20" t="n"/>
      <c r="Q10" s="20" t="n"/>
    </row>
    <row r="11">
      <c r="A11" s="7" t="inlineStr">
        <is>
          <t>ריאלי</t>
        </is>
      </c>
      <c r="B11" s="30" t="n">
        <v>2025</v>
      </c>
      <c r="C11" s="23">
        <f>'תחזית הרכב אוכלוסייה'!C49</f>
        <v/>
      </c>
      <c r="D11" s="13">
        <f>'תחזית הרכב אוכלוסייה'!C14</f>
        <v/>
      </c>
      <c r="E11" s="13">
        <f>'תחזית הרכב אוכלוסייה'!E14</f>
        <v/>
      </c>
      <c r="F11" s="13">
        <f>'תחזית הרכב אוכלוסייה'!D14</f>
        <v/>
      </c>
      <c r="G11" s="24">
        <f>'בסיס 2022'!$G$9*C11</f>
        <v/>
      </c>
      <c r="H11" s="11">
        <f>G11*1000*(D11*'בסיס 2022'!$B$39+E11*'בסיס 2022'!$B$40+F11*'בסיס 2022'!$B$41)</f>
        <v/>
      </c>
      <c r="I11" s="11">
        <f>G11*1000*(D11*'בסיס 2022'!$C$39+E11*'בסיס 2022'!$C$40+F11*'בסיס 2022'!$C$41)</f>
        <v/>
      </c>
      <c r="J11" s="12">
        <f>G11*1000*'בסיס 2022'!$B$44</f>
        <v/>
      </c>
      <c r="K11" s="11">
        <f>J11-H11</f>
        <v/>
      </c>
      <c r="L11" s="31">
        <f>H11/J11-1</f>
        <v/>
      </c>
      <c r="M11" s="32">
        <f>H11/'בסיס 2022'!$G$22-1</f>
        <v/>
      </c>
      <c r="N11" s="13">
        <f>J11/H11-1</f>
        <v/>
      </c>
      <c r="O11" s="13">
        <f>K11/I11</f>
        <v/>
      </c>
      <c r="P11" s="13">
        <f>I11/H11</f>
        <v/>
      </c>
      <c r="Q11" s="13">
        <f>(I11+K11)/J11</f>
        <v/>
      </c>
    </row>
    <row r="12">
      <c r="A12" s="7" t="inlineStr">
        <is>
          <t>ריאלי</t>
        </is>
      </c>
      <c r="B12" s="30" t="n">
        <v>2035</v>
      </c>
      <c r="C12" s="23">
        <f>'תחזית הרכב אוכלוסייה'!D49</f>
        <v/>
      </c>
      <c r="D12" s="13">
        <f>'תחזית הרכב אוכלוסייה'!C15</f>
        <v/>
      </c>
      <c r="E12" s="13">
        <f>'תחזית הרכב אוכלוסייה'!E15</f>
        <v/>
      </c>
      <c r="F12" s="13">
        <f>'תחזית הרכב אוכלוסייה'!D15</f>
        <v/>
      </c>
      <c r="G12" s="24">
        <f>'בסיס 2022'!$G$9*C12</f>
        <v/>
      </c>
      <c r="H12" s="11">
        <f>G12*1000*(D12*'בסיס 2022'!$B$39+E12*'בסיס 2022'!$B$40+F12*'בסיס 2022'!$B$41)</f>
        <v/>
      </c>
      <c r="I12" s="11">
        <f>G12*1000*(D12*'בסיס 2022'!$C$39+E12*'בסיס 2022'!$C$40+F12*'בסיס 2022'!$C$41)</f>
        <v/>
      </c>
      <c r="J12" s="12">
        <f>G12*1000*'בסיס 2022'!$B$44</f>
        <v/>
      </c>
      <c r="K12" s="11">
        <f>J12-H12</f>
        <v/>
      </c>
      <c r="L12" s="31">
        <f>H12/J12-1</f>
        <v/>
      </c>
      <c r="M12" s="32">
        <f>H12/'בסיס 2022'!$G$22-1</f>
        <v/>
      </c>
      <c r="N12" s="13">
        <f>J12/H12-1</f>
        <v/>
      </c>
      <c r="O12" s="13">
        <f>K12/I12</f>
        <v/>
      </c>
      <c r="P12" s="13">
        <f>I12/H12</f>
        <v/>
      </c>
      <c r="Q12" s="13">
        <f>(I12+K12)/J12</f>
        <v/>
      </c>
    </row>
    <row r="13">
      <c r="A13" s="7" t="inlineStr">
        <is>
          <t>ריאלי</t>
        </is>
      </c>
      <c r="B13" s="30" t="n">
        <v>2045</v>
      </c>
      <c r="C13" s="23">
        <f>'תחזית הרכב אוכלוסייה'!E49</f>
        <v/>
      </c>
      <c r="D13" s="13">
        <f>'תחזית הרכב אוכלוסייה'!C16</f>
        <v/>
      </c>
      <c r="E13" s="13">
        <f>'תחזית הרכב אוכלוסייה'!E16</f>
        <v/>
      </c>
      <c r="F13" s="13">
        <f>'תחזית הרכב אוכלוסייה'!D16</f>
        <v/>
      </c>
      <c r="G13" s="24">
        <f>'בסיס 2022'!$G$9*C13</f>
        <v/>
      </c>
      <c r="H13" s="11">
        <f>G13*1000*(D13*'בסיס 2022'!$B$39+E13*'בסיס 2022'!$B$40+F13*'בסיס 2022'!$B$41)</f>
        <v/>
      </c>
      <c r="I13" s="11">
        <f>G13*1000*(D13*'בסיס 2022'!$C$39+E13*'בסיס 2022'!$C$40+F13*'בסיס 2022'!$C$41)</f>
        <v/>
      </c>
      <c r="J13" s="12">
        <f>G13*1000*'בסיס 2022'!$B$44</f>
        <v/>
      </c>
      <c r="K13" s="11">
        <f>J13-H13</f>
        <v/>
      </c>
      <c r="L13" s="31">
        <f>H13/J13-1</f>
        <v/>
      </c>
      <c r="M13" s="32">
        <f>H13/'בסיס 2022'!$G$22-1</f>
        <v/>
      </c>
      <c r="N13" s="13">
        <f>J13/H13-1</f>
        <v/>
      </c>
      <c r="O13" s="13">
        <f>K13/I13</f>
        <v/>
      </c>
      <c r="P13" s="13">
        <f>I13/H13</f>
        <v/>
      </c>
      <c r="Q13" s="13">
        <f>(I13+K13)/J13</f>
        <v/>
      </c>
    </row>
    <row r="14">
      <c r="A14" s="7" t="inlineStr">
        <is>
          <t>ריאלי</t>
        </is>
      </c>
      <c r="B14" s="30" t="n">
        <v>2055</v>
      </c>
      <c r="C14" s="23">
        <f>'תחזית הרכב אוכלוסייה'!F49</f>
        <v/>
      </c>
      <c r="D14" s="13">
        <f>'תחזית הרכב אוכלוסייה'!C17</f>
        <v/>
      </c>
      <c r="E14" s="13">
        <f>'תחזית הרכב אוכלוסייה'!E17</f>
        <v/>
      </c>
      <c r="F14" s="13">
        <f>'תחזית הרכב אוכלוסייה'!D17</f>
        <v/>
      </c>
      <c r="G14" s="24">
        <f>'בסיס 2022'!$G$9*C14</f>
        <v/>
      </c>
      <c r="H14" s="11">
        <f>G14*1000*(D14*'בסיס 2022'!$B$39+E14*'בסיס 2022'!$B$40+F14*'בסיס 2022'!$B$41)</f>
        <v/>
      </c>
      <c r="I14" s="11">
        <f>G14*1000*(D14*'בסיס 2022'!$C$39+E14*'בסיס 2022'!$C$40+F14*'בסיס 2022'!$C$41)</f>
        <v/>
      </c>
      <c r="J14" s="12">
        <f>G14*1000*'בסיס 2022'!$B$44</f>
        <v/>
      </c>
      <c r="K14" s="11">
        <f>J14-H14</f>
        <v/>
      </c>
      <c r="L14" s="31">
        <f>H14/J14-1</f>
        <v/>
      </c>
      <c r="M14" s="32">
        <f>H14/'בסיס 2022'!$G$22-1</f>
        <v/>
      </c>
      <c r="N14" s="13">
        <f>J14/H14-1</f>
        <v/>
      </c>
      <c r="O14" s="13">
        <f>K14/I14</f>
        <v/>
      </c>
      <c r="P14" s="13">
        <f>I14/H14</f>
        <v/>
      </c>
      <c r="Q14" s="13">
        <f>(I14+K14)/J14</f>
        <v/>
      </c>
    </row>
    <row r="15">
      <c r="A15" s="7" t="inlineStr">
        <is>
          <t>ריאלי</t>
        </is>
      </c>
      <c r="B15" s="30" t="n">
        <v>2065</v>
      </c>
      <c r="C15" s="23">
        <f>'תחזית הרכב אוכלוסייה'!G49</f>
        <v/>
      </c>
      <c r="D15" s="13">
        <f>'תחזית הרכב אוכלוסייה'!C18</f>
        <v/>
      </c>
      <c r="E15" s="13">
        <f>'תחזית הרכב אוכלוסייה'!E18</f>
        <v/>
      </c>
      <c r="F15" s="13">
        <f>'תחזית הרכב אוכלוסייה'!D18</f>
        <v/>
      </c>
      <c r="G15" s="24">
        <f>'בסיס 2022'!$G$9*C15</f>
        <v/>
      </c>
      <c r="H15" s="11">
        <f>G15*1000*(D15*'בסיס 2022'!$B$39+E15*'בסיס 2022'!$B$40+F15*'בסיס 2022'!$B$41)</f>
        <v/>
      </c>
      <c r="I15" s="11">
        <f>G15*1000*(D15*'בסיס 2022'!$C$39+E15*'בסיס 2022'!$C$40+F15*'בסיס 2022'!$C$41)</f>
        <v/>
      </c>
      <c r="J15" s="12">
        <f>G15*1000*'בסיס 2022'!$B$44</f>
        <v/>
      </c>
      <c r="K15" s="11">
        <f>J15-H15</f>
        <v/>
      </c>
      <c r="L15" s="31">
        <f>H15/J15-1</f>
        <v/>
      </c>
      <c r="M15" s="32">
        <f>H15/'בסיס 2022'!$G$22-1</f>
        <v/>
      </c>
      <c r="N15" s="13">
        <f>J15/H15-1</f>
        <v/>
      </c>
      <c r="O15" s="13">
        <f>K15/I15</f>
        <v/>
      </c>
      <c r="P15" s="13">
        <f>I15/H15</f>
        <v/>
      </c>
      <c r="Q15" s="13">
        <f>(I15+K15)/J15</f>
        <v/>
      </c>
    </row>
    <row r="16">
      <c r="A16" s="20" t="n"/>
      <c r="B16" s="20" t="n"/>
      <c r="C16" s="20" t="n"/>
      <c r="D16" s="20" t="n"/>
      <c r="E16" s="20" t="n"/>
      <c r="F16" s="20" t="n"/>
      <c r="G16" s="20" t="n"/>
      <c r="H16" s="20" t="n"/>
      <c r="I16" s="20" t="n"/>
      <c r="J16" s="20" t="n"/>
      <c r="K16" s="20" t="n"/>
      <c r="L16" s="20" t="n"/>
      <c r="M16" s="20" t="n"/>
      <c r="N16" s="20" t="n"/>
      <c r="O16" s="20" t="n"/>
      <c r="P16" s="20" t="n"/>
      <c r="Q16" s="20" t="n"/>
    </row>
    <row r="17">
      <c r="A17" s="7" t="inlineStr">
        <is>
          <t>נמוך</t>
        </is>
      </c>
      <c r="B17" s="30" t="n">
        <v>2025</v>
      </c>
      <c r="C17" s="23">
        <f>'תחזית הרכב אוכלוסייה'!C50</f>
        <v/>
      </c>
      <c r="D17" s="13">
        <f>'תחזית הרכב אוכלוסייה'!C21</f>
        <v/>
      </c>
      <c r="E17" s="13">
        <f>'תחזית הרכב אוכלוסייה'!E21</f>
        <v/>
      </c>
      <c r="F17" s="13">
        <f>'תחזית הרכב אוכלוסייה'!D21</f>
        <v/>
      </c>
      <c r="G17" s="24">
        <f>'בסיס 2022'!$G$9*C17</f>
        <v/>
      </c>
      <c r="H17" s="11">
        <f>G17*1000*(D17*'בסיס 2022'!$B$39+E17*'בסיס 2022'!$B$40+F17*'בסיס 2022'!$B$41)</f>
        <v/>
      </c>
      <c r="I17" s="11">
        <f>G17*1000*(D17*'בסיס 2022'!$C$39+E17*'בסיס 2022'!$C$40+F17*'בסיס 2022'!$C$41)</f>
        <v/>
      </c>
      <c r="J17" s="12">
        <f>G17*1000*'בסיס 2022'!$B$44</f>
        <v/>
      </c>
      <c r="K17" s="11">
        <f>J17-H17</f>
        <v/>
      </c>
      <c r="L17" s="31">
        <f>H17/J17-1</f>
        <v/>
      </c>
      <c r="M17" s="32">
        <f>H17/'בסיס 2022'!$G$22-1</f>
        <v/>
      </c>
      <c r="N17" s="13">
        <f>J17/H17-1</f>
        <v/>
      </c>
      <c r="O17" s="13">
        <f>K17/I17</f>
        <v/>
      </c>
      <c r="P17" s="13">
        <f>I17/H17</f>
        <v/>
      </c>
      <c r="Q17" s="13">
        <f>(I17+K17)/J17</f>
        <v/>
      </c>
    </row>
    <row r="18">
      <c r="A18" s="7" t="inlineStr">
        <is>
          <t>נמוך</t>
        </is>
      </c>
      <c r="B18" s="30" t="n">
        <v>2035</v>
      </c>
      <c r="C18" s="23">
        <f>'תחזית הרכב אוכלוסייה'!D50</f>
        <v/>
      </c>
      <c r="D18" s="13">
        <f>'תחזית הרכב אוכלוסייה'!C22</f>
        <v/>
      </c>
      <c r="E18" s="13">
        <f>'תחזית הרכב אוכלוסייה'!E22</f>
        <v/>
      </c>
      <c r="F18" s="13">
        <f>'תחזית הרכב אוכלוסייה'!D22</f>
        <v/>
      </c>
      <c r="G18" s="24">
        <f>'בסיס 2022'!$G$9*C18</f>
        <v/>
      </c>
      <c r="H18" s="11">
        <f>G18*1000*(D18*'בסיס 2022'!$B$39+E18*'בסיס 2022'!$B$40+F18*'בסיס 2022'!$B$41)</f>
        <v/>
      </c>
      <c r="I18" s="11">
        <f>G18*1000*(D18*'בסיס 2022'!$C$39+E18*'בסיס 2022'!$C$40+F18*'בסיס 2022'!$C$41)</f>
        <v/>
      </c>
      <c r="J18" s="12">
        <f>G18*1000*'בסיס 2022'!$B$44</f>
        <v/>
      </c>
      <c r="K18" s="11">
        <f>J18-H18</f>
        <v/>
      </c>
      <c r="L18" s="31">
        <f>H18/J18-1</f>
        <v/>
      </c>
      <c r="M18" s="32">
        <f>H18/'בסיס 2022'!$G$22-1</f>
        <v/>
      </c>
      <c r="N18" s="13">
        <f>J18/H18-1</f>
        <v/>
      </c>
      <c r="O18" s="13">
        <f>K18/I18</f>
        <v/>
      </c>
      <c r="P18" s="13">
        <f>I18/H18</f>
        <v/>
      </c>
      <c r="Q18" s="13">
        <f>(I18+K18)/J18</f>
        <v/>
      </c>
    </row>
    <row r="19">
      <c r="A19" s="7" t="inlineStr">
        <is>
          <t>נמוך</t>
        </is>
      </c>
      <c r="B19" s="30" t="n">
        <v>2045</v>
      </c>
      <c r="C19" s="23">
        <f>'תחזית הרכב אוכלוסייה'!E50</f>
        <v/>
      </c>
      <c r="D19" s="13">
        <f>'תחזית הרכב אוכלוסייה'!C23</f>
        <v/>
      </c>
      <c r="E19" s="13">
        <f>'תחזית הרכב אוכלוסייה'!E23</f>
        <v/>
      </c>
      <c r="F19" s="13">
        <f>'תחזית הרכב אוכלוסייה'!D23</f>
        <v/>
      </c>
      <c r="G19" s="24">
        <f>'בסיס 2022'!$G$9*C19</f>
        <v/>
      </c>
      <c r="H19" s="11">
        <f>G19*1000*(D19*'בסיס 2022'!$B$39+E19*'בסיס 2022'!$B$40+F19*'בסיס 2022'!$B$41)</f>
        <v/>
      </c>
      <c r="I19" s="11">
        <f>G19*1000*(D19*'בסיס 2022'!$C$39+E19*'בסיס 2022'!$C$40+F19*'בסיס 2022'!$C$41)</f>
        <v/>
      </c>
      <c r="J19" s="12">
        <f>G19*1000*'בסיס 2022'!$B$44</f>
        <v/>
      </c>
      <c r="K19" s="11">
        <f>J19-H19</f>
        <v/>
      </c>
      <c r="L19" s="31">
        <f>H19/J19-1</f>
        <v/>
      </c>
      <c r="M19" s="32">
        <f>H19/'בסיס 2022'!$G$22-1</f>
        <v/>
      </c>
      <c r="N19" s="13">
        <f>J19/H19-1</f>
        <v/>
      </c>
      <c r="O19" s="13">
        <f>K19/I19</f>
        <v/>
      </c>
      <c r="P19" s="13">
        <f>I19/H19</f>
        <v/>
      </c>
      <c r="Q19" s="13">
        <f>(I19+K19)/J19</f>
        <v/>
      </c>
    </row>
    <row r="20">
      <c r="A20" s="7" t="inlineStr">
        <is>
          <t>נמוך</t>
        </is>
      </c>
      <c r="B20" s="30" t="n">
        <v>2055</v>
      </c>
      <c r="C20" s="23">
        <f>'תחזית הרכב אוכלוסייה'!F50</f>
        <v/>
      </c>
      <c r="D20" s="13">
        <f>'תחזית הרכב אוכלוסייה'!C24</f>
        <v/>
      </c>
      <c r="E20" s="13">
        <f>'תחזית הרכב אוכלוסייה'!E24</f>
        <v/>
      </c>
      <c r="F20" s="13">
        <f>'תחזית הרכב אוכלוסייה'!D24</f>
        <v/>
      </c>
      <c r="G20" s="24">
        <f>'בסיס 2022'!$G$9*C20</f>
        <v/>
      </c>
      <c r="H20" s="11">
        <f>G20*1000*(D20*'בסיס 2022'!$B$39+E20*'בסיס 2022'!$B$40+F20*'בסיס 2022'!$B$41)</f>
        <v/>
      </c>
      <c r="I20" s="11">
        <f>G20*1000*(D20*'בסיס 2022'!$C$39+E20*'בסיס 2022'!$C$40+F20*'בסיס 2022'!$C$41)</f>
        <v/>
      </c>
      <c r="J20" s="12">
        <f>G20*1000*'בסיס 2022'!$B$44</f>
        <v/>
      </c>
      <c r="K20" s="11">
        <f>J20-H20</f>
        <v/>
      </c>
      <c r="L20" s="31">
        <f>H20/J20-1</f>
        <v/>
      </c>
      <c r="M20" s="32">
        <f>H20/'בסיס 2022'!$G$22-1</f>
        <v/>
      </c>
      <c r="N20" s="13">
        <f>J20/H20-1</f>
        <v/>
      </c>
      <c r="O20" s="13">
        <f>K20/I20</f>
        <v/>
      </c>
      <c r="P20" s="13">
        <f>I20/H20</f>
        <v/>
      </c>
      <c r="Q20" s="13">
        <f>(I20+K20)/J20</f>
        <v/>
      </c>
    </row>
    <row r="21">
      <c r="A21" s="7" t="inlineStr">
        <is>
          <t>נמוך</t>
        </is>
      </c>
      <c r="B21" s="30" t="n">
        <v>2065</v>
      </c>
      <c r="C21" s="23">
        <f>'תחזית הרכב אוכלוסייה'!G50</f>
        <v/>
      </c>
      <c r="D21" s="13">
        <f>'תחזית הרכב אוכלוסייה'!C25</f>
        <v/>
      </c>
      <c r="E21" s="13">
        <f>'תחזית הרכב אוכלוסייה'!E25</f>
        <v/>
      </c>
      <c r="F21" s="13">
        <f>'תחזית הרכב אוכלוסייה'!D25</f>
        <v/>
      </c>
      <c r="G21" s="24">
        <f>'בסיס 2022'!$G$9*C21</f>
        <v/>
      </c>
      <c r="H21" s="11">
        <f>G21*1000*(D21*'בסיס 2022'!$B$39+E21*'בסיס 2022'!$B$40+F21*'בסיס 2022'!$B$41)</f>
        <v/>
      </c>
      <c r="I21" s="11">
        <f>G21*1000*(D21*'בסיס 2022'!$C$39+E21*'בסיס 2022'!$C$40+F21*'בסיס 2022'!$C$41)</f>
        <v/>
      </c>
      <c r="J21" s="12">
        <f>G21*1000*'בסיס 2022'!$B$44</f>
        <v/>
      </c>
      <c r="K21" s="11">
        <f>J21-H21</f>
        <v/>
      </c>
      <c r="L21" s="31">
        <f>H21/J21-1</f>
        <v/>
      </c>
      <c r="M21" s="32">
        <f>H21/'בסיס 2022'!$G$22-1</f>
        <v/>
      </c>
      <c r="N21" s="13">
        <f>J21/H21-1</f>
        <v/>
      </c>
      <c r="O21" s="13">
        <f>K21/I21</f>
        <v/>
      </c>
      <c r="P21" s="13">
        <f>I21/H21</f>
        <v/>
      </c>
      <c r="Q21" s="13">
        <f>(I21+K21)/J21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rightToLeft="1"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גרפים</t>
        </is>
      </c>
    </row>
    <row r="3">
      <c r="A3" s="5" t="inlineStr">
        <is>
          <t>נתוני עזר לגרף 1: הרכב האוכלוסייה לאורך זמן (תרחיש ריאלי)</t>
        </is>
      </c>
    </row>
    <row r="4">
      <c r="A4" s="6" t="inlineStr">
        <is>
          <t>שנה</t>
        </is>
      </c>
      <c r="B4" s="6" t="inlineStr">
        <is>
          <t>יהודים לא חרדים</t>
        </is>
      </c>
      <c r="C4" s="6" t="inlineStr">
        <is>
          <t>חרדים</t>
        </is>
      </c>
      <c r="D4" s="6" t="inlineStr">
        <is>
          <t>ערבים</t>
        </is>
      </c>
    </row>
    <row r="5">
      <c r="A5" s="30">
        <f>'תחזית הרכב אוכלוסייה'!B13</f>
        <v/>
      </c>
      <c r="B5" s="13">
        <f>'תחזית הרכב אוכלוסייה'!C13</f>
        <v/>
      </c>
      <c r="C5" s="13">
        <f>'תחזית הרכב אוכלוסייה'!E13</f>
        <v/>
      </c>
      <c r="D5" s="13">
        <f>'תחזית הרכב אוכלוסייה'!D13</f>
        <v/>
      </c>
    </row>
    <row r="6">
      <c r="A6" s="30">
        <f>'תחזית הרכב אוכלוסייה'!B14</f>
        <v/>
      </c>
      <c r="B6" s="13">
        <f>'תחזית הרכב אוכלוסייה'!C14</f>
        <v/>
      </c>
      <c r="C6" s="13">
        <f>'תחזית הרכב אוכלוסייה'!E14</f>
        <v/>
      </c>
      <c r="D6" s="13">
        <f>'תחזית הרכב אוכלוסייה'!D14</f>
        <v/>
      </c>
    </row>
    <row r="7">
      <c r="A7" s="30">
        <f>'תחזית הרכב אוכלוסייה'!B15</f>
        <v/>
      </c>
      <c r="B7" s="13">
        <f>'תחזית הרכב אוכלוסייה'!C15</f>
        <v/>
      </c>
      <c r="C7" s="13">
        <f>'תחזית הרכב אוכלוסייה'!E15</f>
        <v/>
      </c>
      <c r="D7" s="13">
        <f>'תחזית הרכב אוכלוסייה'!D15</f>
        <v/>
      </c>
    </row>
    <row r="8">
      <c r="A8" s="30">
        <f>'תחזית הרכב אוכלוסייה'!B16</f>
        <v/>
      </c>
      <c r="B8" s="13">
        <f>'תחזית הרכב אוכלוסייה'!C16</f>
        <v/>
      </c>
      <c r="C8" s="13">
        <f>'תחזית הרכב אוכלוסייה'!E16</f>
        <v/>
      </c>
      <c r="D8" s="13">
        <f>'תחזית הרכב אוכלוסייה'!D16</f>
        <v/>
      </c>
    </row>
    <row r="9">
      <c r="A9" s="30">
        <f>'תחזית הרכב אוכלוסייה'!B17</f>
        <v/>
      </c>
      <c r="B9" s="13">
        <f>'תחזית הרכב אוכלוסייה'!C17</f>
        <v/>
      </c>
      <c r="C9" s="13">
        <f>'תחזית הרכב אוכלוסייה'!E17</f>
        <v/>
      </c>
      <c r="D9" s="13">
        <f>'תחזית הרכב אוכלוסייה'!D17</f>
        <v/>
      </c>
    </row>
    <row r="10">
      <c r="A10" s="30">
        <f>'תחזית הרכב אוכלוסייה'!B18</f>
        <v/>
      </c>
      <c r="B10" s="13">
        <f>'תחזית הרכב אוכלוסייה'!C18</f>
        <v/>
      </c>
      <c r="C10" s="13">
        <f>'תחזית הרכב אוכלוסייה'!E18</f>
        <v/>
      </c>
      <c r="D10" s="13">
        <f>'תחזית הרכב אוכלוסייה'!D18</f>
        <v/>
      </c>
    </row>
    <row r="13">
      <c r="A13" s="5" t="inlineStr">
        <is>
          <t>נתוני עזר לגרף 2: הכנסת המדינה ממס הכנסה לפי חמישון — 2022 מול 2065 (תרחיש ריאלי)</t>
        </is>
      </c>
    </row>
    <row r="14">
      <c r="A14" s="6" t="inlineStr"/>
      <c r="B14" s="6" t="inlineStr">
        <is>
          <t>חמישון 1</t>
        </is>
      </c>
      <c r="C14" s="6" t="inlineStr">
        <is>
          <t>חמישון 2</t>
        </is>
      </c>
      <c r="D14" s="6" t="inlineStr">
        <is>
          <t>חמישון 3</t>
        </is>
      </c>
      <c r="E14" s="6" t="inlineStr">
        <is>
          <t>חמישון 4</t>
        </is>
      </c>
      <c r="F14" s="6" t="inlineStr">
        <is>
          <t>חמישון 5</t>
        </is>
      </c>
    </row>
    <row r="15">
      <c r="A15" s="20" t="inlineStr">
        <is>
          <t>2022 (בפועל)</t>
        </is>
      </c>
      <c r="B15" s="11">
        <f>'בסיס 2022'!B22</f>
        <v/>
      </c>
      <c r="C15" s="11">
        <f>'בסיס 2022'!C22</f>
        <v/>
      </c>
      <c r="D15" s="11">
        <f>'בסיס 2022'!D22</f>
        <v/>
      </c>
      <c r="E15" s="11">
        <f>'בסיס 2022'!E22</f>
        <v/>
      </c>
      <c r="F15" s="11">
        <f>'בסיס 2022'!F22</f>
        <v/>
      </c>
    </row>
    <row r="16">
      <c r="A16" s="20" t="inlineStr">
        <is>
          <t>2065 – ללא שינוי מדיניות</t>
        </is>
      </c>
      <c r="B16" s="11">
        <f>'פירוט תרחיש ריאלי 2065'!B27</f>
        <v/>
      </c>
      <c r="C16" s="11">
        <f>'פירוט תרחיש ריאלי 2065'!C27</f>
        <v/>
      </c>
      <c r="D16" s="11">
        <f>'פירוט תרחיש ריאלי 2065'!D27</f>
        <v/>
      </c>
      <c r="E16" s="11">
        <f>'פירוט תרחיש ריאלי 2065'!E27</f>
        <v/>
      </c>
      <c r="F16" s="11">
        <f>'פירוט תרחיש ריאלי 2065'!F27</f>
        <v/>
      </c>
    </row>
    <row r="17">
      <c r="A17" s="20" t="inlineStr">
        <is>
          <t>2065 – חמישון 5 סופג את כל הפער מהיעד</t>
        </is>
      </c>
      <c r="B17" s="11">
        <f>'פירוט תרחיש ריאלי 2065'!B27</f>
        <v/>
      </c>
      <c r="C17" s="11">
        <f>'פירוט תרחיש ריאלי 2065'!C27</f>
        <v/>
      </c>
      <c r="D17" s="11">
        <f>'פירוט תרחיש ריאלי 2065'!D27</f>
        <v/>
      </c>
      <c r="E17" s="11">
        <f>'פירוט תרחיש ריאלי 2065'!E27</f>
        <v/>
      </c>
      <c r="F17" s="11">
        <f>'פירוט תרחיש ריאלי 2065'!B59</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2026-08-31T15:39:26Z</dcterms:created>
  <dcterms:modified xmlns:dcterms="http://purl.org/dc/terms/" xmlns:xsi="http://www.w3.org/2001/XMLSchema-instance" xsi:type="dcterms:W3CDTF">2026-08-31T15:39:26Z</dcterms:modified>
</cp:coreProperties>
</file>